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Pipelines" sheetId="2" state="visible" r:id="rId2"/>
  </sheets>
  <definedNames>
    <definedName name="_xlnm._FilterDatabase" localSheetId="1" hidden="1">'Pipelines'!$A$1:$M$48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color rgb="001155CC"/>
      <sz val="10"/>
      <u val="single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F7F0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3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eia.gov/petroleum/weekly/archive/2022/220615/includes/analysis_print.php" TargetMode="External" Id="rId1" /><Relationship Type="http://schemas.openxmlformats.org/officeDocument/2006/relationships/hyperlink" Target="https://www.mckinseyenergyinsights.com/resources/refinery-reference-desk/colonial-pipeline/" TargetMode="External" Id="rId2" /><Relationship Type="http://schemas.openxmlformats.org/officeDocument/2006/relationships/hyperlink" Target="https://www.eia.gov/petroleum/weekly/archive/2022/220615/includes/analysis_print.php" TargetMode="External" Id="rId3" /><Relationship Type="http://schemas.openxmlformats.org/officeDocument/2006/relationships/hyperlink" Target="https://www.sec.gov/Archives/edgar/data/1534701/000153470126000006/psx-20251231.htm" TargetMode="External" Id="rId4" /><Relationship Type="http://schemas.openxmlformats.org/officeDocument/2006/relationships/hyperlink" Target="https://www.expl.com/2205-2/" TargetMode="External" Id="rId5" /><Relationship Type="http://schemas.openxmlformats.org/officeDocument/2006/relationships/hyperlink" Target="https://www.sec.gov/Archives/edgar/data/1534701/000153470126000006/psx-20251231.htm" TargetMode="External" Id="rId6" /><Relationship Type="http://schemas.openxmlformats.org/officeDocument/2006/relationships/hyperlink" Target="https://www.sec.gov/Archives/edgar/data/1534701/000153470126000006/psx-20251231.htm" TargetMode="External" Id="rId7" /><Relationship Type="http://schemas.openxmlformats.org/officeDocument/2006/relationships/hyperlink" Target="https://www.sec.gov/Archives/edgar/data/1534701/000153470126000006/psx-20251231.htm" TargetMode="External" Id="rId8" /><Relationship Type="http://schemas.openxmlformats.org/officeDocument/2006/relationships/hyperlink" Target="https://www.sec.gov/Archives/edgar/data/1534701/000153470126000006/psx-20251231.htm" TargetMode="External" Id="rId9" /><Relationship Type="http://schemas.openxmlformats.org/officeDocument/2006/relationships/hyperlink" Target="https://www.sec.gov/Archives/edgar/data/1283140/000128314021000012/hfc-20201231.htm" TargetMode="External" Id="rId10" /><Relationship Type="http://schemas.openxmlformats.org/officeDocument/2006/relationships/hyperlink" Target="https://www.sec.gov/Archives/edgar/data/1507615/000150761513000038/tllpex991pressrelease.htm" TargetMode="External" Id="rId11" /><Relationship Type="http://schemas.openxmlformats.org/officeDocument/2006/relationships/hyperlink" Target="https://wolverinepipeline.com/who-is-wolverine-pipe-line-company/" TargetMode="External" Id="rId12" /><Relationship Type="http://schemas.openxmlformats.org/officeDocument/2006/relationships/hyperlink" Target="https://www.goskagit.com/news/local_news/work-planned-for-olympic-pipeline/article_e21abba8-d69e-5735-bace-223d07386733.html" TargetMode="External" Id="rId13" /><Relationship Type="http://schemas.openxmlformats.org/officeDocument/2006/relationships/hyperlink" Target="https://www.gem.wiki/Laurel_Pipeline" TargetMode="External" Id="rId14" /><Relationship Type="http://schemas.openxmlformats.org/officeDocument/2006/relationships/hyperlink" Target="https://www.gem.wiki/Calnev_Oil_Products_Pipeline" TargetMode="External" Id="rId15" /><Relationship Type="http://schemas.openxmlformats.org/officeDocument/2006/relationships/hyperlink" Target="https://www.power-eng.com/operations-maintenance/centennial-pipeline-announces-beginning-of-full-operation/" TargetMode="External" Id="rId16" /><Relationship Type="http://schemas.openxmlformats.org/officeDocument/2006/relationships/hyperlink" Target="https://kindermorgan.com/Operations/Products/Index" TargetMode="External" Id="rId17" /><Relationship Type="http://schemas.openxmlformats.org/officeDocument/2006/relationships/hyperlink" Target="https://www.sec.gov/Archives/edgar/data/1126975/000112697523000064/mmp-20221231.htm" TargetMode="External" Id="rId18" /><Relationship Type="http://schemas.openxmlformats.org/officeDocument/2006/relationships/hyperlink" Target="https://www.sec.gov/Archives/edgar/data/895728/000119312526049810/enb-20251231.htm" TargetMode="External" Id="rId19" /><Relationship Type="http://schemas.openxmlformats.org/officeDocument/2006/relationships/hyperlink" Target="https://www.eia.gov/petroleum/xls/EIA_LiqPipProject.xlsx" TargetMode="External" Id="rId20" /><Relationship Type="http://schemas.openxmlformats.org/officeDocument/2006/relationships/hyperlink" Target="https://www.enbridge.com/projects-and-infrastructure/public-awareness/line-5-answering-your-questions/what-is-line-5" TargetMode="External" Id="rId21" /><Relationship Type="http://schemas.openxmlformats.org/officeDocument/2006/relationships/hyperlink" Target="https://www.eia.gov/petroleum/xls/EIA_LiqPipProject.xlsx" TargetMode="External" Id="rId22" /><Relationship Type="http://schemas.openxmlformats.org/officeDocument/2006/relationships/hyperlink" Target="https://www.eia.gov/petroleum/xls/EIA_LiqPipProject.xlsx" TargetMode="External" Id="rId23" /><Relationship Type="http://schemas.openxmlformats.org/officeDocument/2006/relationships/hyperlink" Target="https://www.sec.gov/Archives/edgar/data/895728/000119312526049810/enb-20251231.htm" TargetMode="External" Id="rId24" /><Relationship Type="http://schemas.openxmlformats.org/officeDocument/2006/relationships/hyperlink" Target="https://www.eia.gov/petroleum/xls/EIA_LiqPipProject.xlsx" TargetMode="External" Id="rId25" /><Relationship Type="http://schemas.openxmlformats.org/officeDocument/2006/relationships/hyperlink" Target="https://www.sec.gov/Archives/edgar/data/895728/000119312526049810/enb-20251231.htm" TargetMode="External" Id="rId26" /><Relationship Type="http://schemas.openxmlformats.org/officeDocument/2006/relationships/hyperlink" Target="https://www.sec.gov/Archives/edgar/data/895728/000119312526049810/enb-20251231.htm" TargetMode="External" Id="rId27" /><Relationship Type="http://schemas.openxmlformats.org/officeDocument/2006/relationships/hyperlink" Target="https://www.eia.gov/petroleum/xls/EIA_LiqPipProject.xlsx" TargetMode="External" Id="rId28" /><Relationship Type="http://schemas.openxmlformats.org/officeDocument/2006/relationships/hyperlink" Target="https://www.eia.gov/petroleum/xls/EIA_LiqPipProject.xlsx" TargetMode="External" Id="rId29" /><Relationship Type="http://schemas.openxmlformats.org/officeDocument/2006/relationships/hyperlink" Target="https://www.sec.gov/Archives/edgar/data/895728/000119312526049810/enb-20251231.htm" TargetMode="External" Id="rId30" /><Relationship Type="http://schemas.openxmlformats.org/officeDocument/2006/relationships/hyperlink" Target="https://www.sec.gov/Archives/edgar/data/895728/000119312526049810/enb-20251231.htm" TargetMode="External" Id="rId31" /><Relationship Type="http://schemas.openxmlformats.org/officeDocument/2006/relationships/hyperlink" Target="https://www.eia.gov/petroleum/xls/EIA_LiqPipProject.xlsx" TargetMode="External" Id="rId32" /><Relationship Type="http://schemas.openxmlformats.org/officeDocument/2006/relationships/hyperlink" Target="https://www.sec.gov/Archives/edgar/data/1070423/000107042326000014/paa-20251231.htm" TargetMode="External" Id="rId33" /><Relationship Type="http://schemas.openxmlformats.org/officeDocument/2006/relationships/hyperlink" Target="https://www.sec.gov/Archives/edgar/data/1061219/000106121926000006/epd-20251231.htm" TargetMode="External" Id="rId34" /><Relationship Type="http://schemas.openxmlformats.org/officeDocument/2006/relationships/hyperlink" Target="https://www.sec.gov/Archives/edgar/data/1534701/000153470126000006/psx-20251231.htm" TargetMode="External" Id="rId35" /><Relationship Type="http://schemas.openxmlformats.org/officeDocument/2006/relationships/hyperlink" Target="https://www.sec.gov/Archives/edgar/data/1070423/000107042326000014/paa-20251231.htm" TargetMode="External" Id="rId36" /><Relationship Type="http://schemas.openxmlformats.org/officeDocument/2006/relationships/hyperlink" Target="https://www.eia.gov/petroleum/xls/EIA_LiqPipProject.xlsx" TargetMode="External" Id="rId37" /><Relationship Type="http://schemas.openxmlformats.org/officeDocument/2006/relationships/hyperlink" Target="https://www.sec.gov/Archives/edgar/data/1070423/000107042326000014/paa-20251231.htm" TargetMode="External" Id="rId38" /><Relationship Type="http://schemas.openxmlformats.org/officeDocument/2006/relationships/hyperlink" Target="https://www.eia.gov/petroleum/xls/EIA_LiqPipProject.xlsx" TargetMode="External" Id="rId39" /><Relationship Type="http://schemas.openxmlformats.org/officeDocument/2006/relationships/hyperlink" Target="https://www.eia.gov/petroleum/xls/EIA_LiqPipProject.xlsx" TargetMode="External" Id="rId40" /><Relationship Type="http://schemas.openxmlformats.org/officeDocument/2006/relationships/hyperlink" Target="https://www.sec.gov/Archives/edgar/data/1061219/000106121926000006/epd-20251231.htm" TargetMode="External" Id="rId41" /><Relationship Type="http://schemas.openxmlformats.org/officeDocument/2006/relationships/hyperlink" Target="https://www.sec.gov/Archives/edgar/data/1070423/000107042326000014/paa-20251231.htm" TargetMode="External" Id="rId42" /><Relationship Type="http://schemas.openxmlformats.org/officeDocument/2006/relationships/hyperlink" Target="https://www.sec.gov/Archives/edgar/data/1534701/000153470126000006/psx-20251231.htm" TargetMode="External" Id="rId43" /><Relationship Type="http://schemas.openxmlformats.org/officeDocument/2006/relationships/hyperlink" Target="https://www.eia.gov/petroleum/xls/EIA_LiqPipProject.xlsx" TargetMode="External" Id="rId44" /><Relationship Type="http://schemas.openxmlformats.org/officeDocument/2006/relationships/hyperlink" Target="https://www.eia.gov/petroleum/xls/EIA_LiqPipProject.xlsx" TargetMode="External" Id="rId45" /><Relationship Type="http://schemas.openxmlformats.org/officeDocument/2006/relationships/hyperlink" Target="https://www.sec.gov/Archives/edgar/data/1534701/000153470126000006/psx-20251231.htm" TargetMode="External" Id="rId46" /><Relationship Type="http://schemas.openxmlformats.org/officeDocument/2006/relationships/hyperlink" Target="https://www.gem.wiki/Mid-Valley_Oil_Pipeline" TargetMode="External" Id="rId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00" customWidth="1" min="1" max="1"/>
    <col width="18" customWidth="1" min="2" max="2"/>
  </cols>
  <sheetData>
    <row r="1">
      <c r="A1" s="1" t="inlineStr">
        <is>
          <t>US fuel pipelines: capacity and sources</t>
        </is>
      </c>
    </row>
    <row r="2">
      <c r="A2" s="2" t="inlineStr"/>
    </row>
    <row r="3">
      <c r="A3" s="3" t="inlineStr">
        <is>
          <t>What this is</t>
        </is>
      </c>
    </row>
    <row r="4">
      <c r="A4" s="2" t="inlineStr">
        <is>
          <t>The main US refined-product and crude oil trunk pipelines on the map, with the capacity used for each line's width and where that number comes from.</t>
        </is>
      </c>
    </row>
    <row r="5">
      <c r="A5" s="2" t="inlineStr"/>
    </row>
    <row r="6">
      <c r="A6" s="3" t="inlineStr">
        <is>
          <t>How to read it</t>
        </is>
      </c>
    </row>
    <row r="7">
      <c r="A7" s="2" t="inlineStr">
        <is>
          <t>Capacity (b/d): barrels per day. For refined-product lines it covers every product the line carries (gasoline, diesel, jet fuel), not diesel alone.</t>
        </is>
      </c>
    </row>
    <row r="8">
      <c r="A8" s="2" t="inlineStr">
        <is>
          <t>Measure: 'Capacity' unless stated. Two lines show throughput (actual volume) because the operator publishes no capacity; one is derived from two published figures, and the arithmetic is in its notes.</t>
        </is>
      </c>
    </row>
    <row r="9">
      <c r="A9" s="2" t="inlineStr">
        <is>
          <t>Source type: Official (EIA), Company SEC filing (10-K), Company website, Derived, Industry reference, or Press. Press and industry-reference figures could not be confirmed from an operator or official document; they are the best figures available and are drawn at the reported value.</t>
        </is>
      </c>
    </row>
    <row r="10">
      <c r="A10" s="2" t="inlineStr">
        <is>
          <t>Width on map: 'No (thin)' lines have no capacity figure from any source and appear at a fixed thin width.</t>
        </is>
      </c>
    </row>
    <row r="11">
      <c r="A11" s="2" t="inlineStr"/>
    </row>
    <row r="12">
      <c r="A12" s="3" t="inlineStr">
        <is>
          <t>Summary</t>
        </is>
      </c>
    </row>
    <row r="13">
      <c r="A13" s="2" t="inlineStr">
        <is>
          <t>Lines listed</t>
        </is>
      </c>
      <c r="B13" s="4">
        <f>COUNTA(Pipelines!B2:B48)</f>
        <v/>
      </c>
    </row>
    <row r="14">
      <c r="A14" s="2" t="inlineStr">
        <is>
          <t>Drawn with width</t>
        </is>
      </c>
      <c r="B14" s="4">
        <f>COUNTIF(Pipelines!L2:L48,"Yes")</f>
        <v/>
      </c>
    </row>
    <row r="15">
      <c r="A15" s="2" t="inlineStr">
        <is>
          <t>Refined-product capacity drawn (b/d)</t>
        </is>
      </c>
      <c r="B15" s="4">
        <f>SUMIFS(Pipelines!D2:D48,Pipelines!A2:A48,"Refined products",Pipelines!L2:L48,"Yes")</f>
        <v/>
      </c>
    </row>
    <row r="16">
      <c r="A16" s="2" t="inlineStr">
        <is>
          <t>Crude capacity drawn (b/d)</t>
        </is>
      </c>
      <c r="B16" s="4">
        <f>SUMIFS(Pipelines!D2:D48,Pipelines!A2:A48,"Crude oil",Pipelines!L2:L48,"Yes")</f>
        <v/>
      </c>
    </row>
    <row r="17">
      <c r="A17" s="2" t="inlineStr"/>
    </row>
    <row r="18">
      <c r="A18" s="2" t="inlineStr">
        <is>
          <t>Routes: EIA refined-product and crude oil trunk pipeline layers, as republished on the federal HIFLD open-data service (scripts/fetch_pipelines.py).</t>
        </is>
      </c>
    </row>
    <row r="19">
      <c r="A19" s="2" t="inlineStr">
        <is>
          <t>Built by scripts/process_pipeline_map.py from data/pipelines/pipeline_capacity.csv.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8" customWidth="1" min="2" max="2"/>
    <col width="40" customWidth="1" min="3" max="3"/>
    <col width="15" customWidth="1" min="4" max="4"/>
    <col width="24" customWidth="1" min="5" max="5"/>
    <col width="8" customWidth="1" min="6" max="6"/>
    <col width="22" customWidth="1" min="7" max="7"/>
    <col width="44" customWidth="1" min="8" max="8"/>
    <col width="50" customWidth="1" min="9" max="9"/>
    <col width="60" customWidth="1" min="10" max="10"/>
    <col width="60" customWidth="1" min="11" max="11"/>
    <col width="13" customWidth="1" min="12" max="12"/>
    <col width="12" customWidth="1" min="13" max="13"/>
  </cols>
  <sheetData>
    <row r="1" ht="30" customHeight="1">
      <c r="A1" s="5" t="inlineStr">
        <is>
          <t>Layer</t>
        </is>
      </c>
      <c r="B1" s="5" t="inlineStr">
        <is>
          <t>Pipeline</t>
        </is>
      </c>
      <c r="C1" s="5" t="inlineStr">
        <is>
          <t>Route</t>
        </is>
      </c>
      <c r="D1" s="5" t="inlineStr">
        <is>
          <t>Capacity (b/d)</t>
        </is>
      </c>
      <c r="E1" s="5" t="inlineStr">
        <is>
          <t>Measure</t>
        </is>
      </c>
      <c r="F1" s="5" t="inlineStr">
        <is>
          <t>As of</t>
        </is>
      </c>
      <c r="G1" s="5" t="inlineStr">
        <is>
          <t>Source type</t>
        </is>
      </c>
      <c r="H1" s="5" t="inlineStr">
        <is>
          <t>Source</t>
        </is>
      </c>
      <c r="I1" s="5" t="inlineStr">
        <is>
          <t>Link</t>
        </is>
      </c>
      <c r="J1" s="5" t="inlineStr">
        <is>
          <t>Quote from source</t>
        </is>
      </c>
      <c r="K1" s="5" t="inlineStr">
        <is>
          <t>Notes</t>
        </is>
      </c>
      <c r="L1" s="5" t="inlineStr">
        <is>
          <t>Width on map</t>
        </is>
      </c>
      <c r="M1" s="5" t="inlineStr">
        <is>
          <t>EIA route segments</t>
        </is>
      </c>
    </row>
    <row r="2">
      <c r="A2" s="6" t="inlineStr">
        <is>
          <t>Refined products</t>
        </is>
      </c>
      <c r="B2" s="6" t="inlineStr">
        <is>
          <t>Colonial Pipeline, Houston to Greensboro (Lines 1 and 2)</t>
        </is>
      </c>
      <c r="C2" s="6" t="inlineStr">
        <is>
          <t>Houston, TX to Greensboro, NC</t>
        </is>
      </c>
      <c r="D2" s="7" t="n">
        <v>2500000</v>
      </c>
      <c r="E2" s="6" t="inlineStr">
        <is>
          <t>Capacity</t>
        </is>
      </c>
      <c r="F2" s="6" t="inlineStr">
        <is>
          <t>2022</t>
        </is>
      </c>
      <c r="G2" s="6" t="inlineStr">
        <is>
          <t>Official (EIA)</t>
        </is>
      </c>
      <c r="H2" s="6" t="inlineStr">
        <is>
          <t>EIA, This Week in Petroleum, 15 Jun 2022</t>
        </is>
      </c>
      <c r="I2" s="8" t="inlineStr">
        <is>
          <t>https://www.eia.gov/petroleum/weekly/archive/2022/220615/includes/analysis_print.php</t>
        </is>
      </c>
      <c r="J2" s="6" t="inlineStr">
        <is>
          <t>Transportation fuels markets in the Gulf Coast and East Coast are linked primarily by the 2.5 million b/d Colonial Pipeline and by the 720,000 b/d Products (SE) Pipeline (formerly known as the Plantation Pipeline).</t>
        </is>
      </c>
      <c r="K2" s="6" t="inlineStr">
        <is>
          <t>Line 1 carries about 1.4M b/d of gasoline and Line 2 about 1.1M b/d of diesel, heating oil and jet fuel (EIA, This Week in Petroleum, 21 Sep 2016: https://www.eia.gov/petroleum/weekly/archive/2016/160921/includes/analysis_print.php). Drawn on the mainline only; laterals are thin</t>
        </is>
      </c>
      <c r="L2" s="6" t="inlineStr">
        <is>
          <t>Yes</t>
        </is>
      </c>
      <c r="M2" s="6" t="n">
        <v>1</v>
      </c>
    </row>
    <row r="3">
      <c r="A3" s="2" t="inlineStr">
        <is>
          <t>Refined products</t>
        </is>
      </c>
      <c r="B3" s="2" t="inlineStr">
        <is>
          <t>Colonial Pipeline, Greensboro to New York Harbor (Lines 3 and 4)</t>
        </is>
      </c>
      <c r="C3" s="2" t="inlineStr">
        <is>
          <t>Greensboro, NC to Baltimore, MD (Line 4) and Linden, NJ (Line 3)</t>
        </is>
      </c>
      <c r="D3" s="9" t="n">
        <v>1585000</v>
      </c>
      <c r="E3" s="2" t="inlineStr">
        <is>
          <t>Capacity (Line 3 885k + Line 4 700k)</t>
        </is>
      </c>
      <c r="F3" s="2" t="inlineStr"/>
      <c r="G3" s="2" t="inlineStr">
        <is>
          <t>Industry reference (not directly verified)</t>
        </is>
      </c>
      <c r="H3" s="2" t="inlineStr">
        <is>
          <t>McKinsey Energy Insights, Refinery Reference Desk: Colonial pipeline</t>
        </is>
      </c>
      <c r="I3" s="10" t="inlineStr">
        <is>
          <t>https://www.mckinseyenergyinsights.com/resources/refinery-reference-desk/colonial-pipeline/</t>
        </is>
      </c>
      <c r="J3" s="2" t="inlineStr"/>
      <c r="K3" s="2" t="inlineStr">
        <is>
          <t>The page could not be opened to confirm; figures as indexed by search: Line 3 885,000 b/d Greensboro to Linden, Line 4 700,000 b/d Greensboro to Baltimore. EIA gives no official figure north of Greensboro. Drawn at their sum so the line is not shown ending in North Carolina</t>
        </is>
      </c>
      <c r="L3" s="2" t="inlineStr">
        <is>
          <t>Yes</t>
        </is>
      </c>
      <c r="M3" s="2" t="n">
        <v>1</v>
      </c>
    </row>
    <row r="4">
      <c r="A4" s="6" t="inlineStr">
        <is>
          <t>Refined products</t>
        </is>
      </c>
      <c r="B4" s="6" t="inlineStr">
        <is>
          <t>Products SE Pipeline (formerly Plantation)</t>
        </is>
      </c>
      <c r="C4" s="6" t="inlineStr">
        <is>
          <t>Baton Rouge, LA to Washington, DC area</t>
        </is>
      </c>
      <c r="D4" s="7" t="n">
        <v>720000</v>
      </c>
      <c r="E4" s="6" t="inlineStr">
        <is>
          <t>Capacity</t>
        </is>
      </c>
      <c r="F4" s="6" t="inlineStr">
        <is>
          <t>2022</t>
        </is>
      </c>
      <c r="G4" s="6" t="inlineStr">
        <is>
          <t>Official (EIA)</t>
        </is>
      </c>
      <c r="H4" s="6" t="inlineStr">
        <is>
          <t>EIA, This Week in Petroleum, 15 Jun 2022</t>
        </is>
      </c>
      <c r="I4" s="8" t="inlineStr">
        <is>
          <t>https://www.eia.gov/petroleum/weekly/archive/2022/220615/includes/analysis_print.php</t>
        </is>
      </c>
      <c r="J4" s="6" t="inlineStr">
        <is>
          <t>... and by the 720,000 b/d Products (SE) Pipeline (formerly known as the Plantation Pipeline).</t>
        </is>
      </c>
      <c r="K4" s="6" t="inlineStr">
        <is>
          <t>Renamed from Plantation: Kinder Morgan's 10-K for 2025 lists the "Products (SE) pipeline" (3,181 miles, 51% owned via Products (SE) Pipe Line Corporation): https://www.sec.gov/Archives/edgar/data/1506307/000150630726000011/kmi-20251231.htm. Earlier: about 710,000 b/d after a 2001 expansion (Kinder Morgan Energy Partners 10-K405 for 2001: https://www.sec.gov/Archives/edgar/data/888228/000095012902000816/h94309e10-k405.txt). Drawn on the mainline only; laterals are thin</t>
        </is>
      </c>
      <c r="L4" s="6" t="inlineStr">
        <is>
          <t>Yes</t>
        </is>
      </c>
      <c r="M4" s="6" t="n">
        <v>1</v>
      </c>
    </row>
    <row r="5">
      <c r="A5" s="2" t="inlineStr">
        <is>
          <t>Refined products</t>
        </is>
      </c>
      <c r="B5" s="2" t="inlineStr">
        <is>
          <t>Explorer Pipeline (Houston to Tulsa and Wood River)</t>
        </is>
      </c>
      <c r="C5" s="2" t="inlineStr">
        <is>
          <t>Port Arthur/Houston, TX to Tulsa, OK and Wood River, IL</t>
        </is>
      </c>
      <c r="D5" s="9" t="n">
        <v>660000</v>
      </c>
      <c r="E5" s="2" t="inlineStr">
        <is>
          <t>Capacity</t>
        </is>
      </c>
      <c r="F5" s="2" t="inlineStr">
        <is>
          <t>2025</t>
        </is>
      </c>
      <c r="G5" s="2" t="inlineStr">
        <is>
          <t>Company SEC filing</t>
        </is>
      </c>
      <c r="H5" s="2" t="inlineStr">
        <is>
          <t>Phillips 66, Form 10-K for 2025 (pipeline table: Explorer, 660 MB/D gross capacity); Explorer Pipeline history page</t>
        </is>
      </c>
      <c r="I5" s="10" t="inlineStr">
        <is>
          <t>https://www.sec.gov/Archives/edgar/data/1534701/000153470126000006/psx-20251231.htm</t>
        </is>
      </c>
      <c r="J5" s="2" t="inlineStr">
        <is>
          <t>Explorer Texas/Indiana 22 1,830 660 [interest %, miles, gross capacity MB/D]</t>
        </is>
      </c>
      <c r="K5" s="2" t="inlineStr">
        <is>
          <t>Explorer: southern system (Houston to Tulsa) 660,000 b/d; northern system (Tulsa to Hammond) 450,000 b/d (https://www.expl.com/2205-2/). The EIA route runs through to Wood River as one line, drawn at the southern figure</t>
        </is>
      </c>
      <c r="L5" s="2" t="inlineStr">
        <is>
          <t>Yes</t>
        </is>
      </c>
      <c r="M5" s="2" t="n">
        <v>1</v>
      </c>
    </row>
    <row r="6">
      <c r="A6" s="6" t="inlineStr">
        <is>
          <t>Refined products</t>
        </is>
      </c>
      <c r="B6" s="6" t="inlineStr">
        <is>
          <t>Explorer Pipeline (Wood River to Hammond)</t>
        </is>
      </c>
      <c r="C6" s="6" t="inlineStr">
        <is>
          <t>Wood River, IL to Hammond, IN (Chicago)</t>
        </is>
      </c>
      <c r="D6" s="7" t="n">
        <v>450000</v>
      </c>
      <c r="E6" s="6" t="inlineStr">
        <is>
          <t>Capacity</t>
        </is>
      </c>
      <c r="F6" s="6" t="inlineStr">
        <is>
          <t>2025</t>
        </is>
      </c>
      <c r="G6" s="6" t="inlineStr">
        <is>
          <t>Company website</t>
        </is>
      </c>
      <c r="H6" s="6" t="inlineStr">
        <is>
          <t>Explorer Pipeline Company: Our History</t>
        </is>
      </c>
      <c r="I6" s="8" t="inlineStr">
        <is>
          <t>https://www.expl.com/2205-2/</t>
        </is>
      </c>
      <c r="J6" s="6" t="inlineStr">
        <is>
          <t>The northern system currently has a capacity of 450,000 barrels per day</t>
        </is>
      </c>
      <c r="K6" s="6" t="inlineStr"/>
      <c r="L6" s="6" t="inlineStr">
        <is>
          <t>Yes</t>
        </is>
      </c>
      <c r="M6" s="6" t="n">
        <v>1</v>
      </c>
    </row>
    <row r="7">
      <c r="A7" s="2" t="inlineStr">
        <is>
          <t>Refined products</t>
        </is>
      </c>
      <c r="B7" s="2" t="inlineStr">
        <is>
          <t>Gold Line</t>
        </is>
      </c>
      <c r="C7" s="2" t="inlineStr">
        <is>
          <t>Borger, TX to East St. Louis, IL</t>
        </is>
      </c>
      <c r="D7" s="9" t="n">
        <v>120000</v>
      </c>
      <c r="E7" s="2" t="inlineStr">
        <is>
          <t>Capacity</t>
        </is>
      </c>
      <c r="F7" s="2" t="inlineStr">
        <is>
          <t>2025</t>
        </is>
      </c>
      <c r="G7" s="2" t="inlineStr">
        <is>
          <t>Company SEC filing</t>
        </is>
      </c>
      <c r="H7" s="2" t="inlineStr">
        <is>
          <t>Phillips 66, Form 10-K for 2025, pipeline table</t>
        </is>
      </c>
      <c r="I7" s="10" t="inlineStr">
        <is>
          <t>https://www.sec.gov/Archives/edgar/data/1534701/000153470126000006/psx-20251231.htm</t>
        </is>
      </c>
      <c r="J7" s="2" t="inlineStr">
        <is>
          <t>Gold Line Texas/Illinois 100 686 120</t>
        </is>
      </c>
      <c r="K7" s="2" t="inlineStr"/>
      <c r="L7" s="2" t="inlineStr">
        <is>
          <t>Yes</t>
        </is>
      </c>
      <c r="M7" s="2" t="n">
        <v>1</v>
      </c>
    </row>
    <row r="8">
      <c r="A8" s="6" t="inlineStr">
        <is>
          <t>Refined products</t>
        </is>
      </c>
      <c r="B8" s="6" t="inlineStr">
        <is>
          <t>Yellowstone Pipeline</t>
        </is>
      </c>
      <c r="C8" s="6" t="inlineStr">
        <is>
          <t>Billings, MT to Spokane/Moses Lake, WA</t>
        </is>
      </c>
      <c r="D8" s="7" t="n">
        <v>68000</v>
      </c>
      <c r="E8" s="6" t="inlineStr">
        <is>
          <t>Capacity</t>
        </is>
      </c>
      <c r="F8" s="6" t="inlineStr">
        <is>
          <t>2025</t>
        </is>
      </c>
      <c r="G8" s="6" t="inlineStr">
        <is>
          <t>Company SEC filing</t>
        </is>
      </c>
      <c r="H8" s="6" t="inlineStr">
        <is>
          <t>Phillips 66, Form 10-K for 2025, pipeline table</t>
        </is>
      </c>
      <c r="I8" s="8" t="inlineStr">
        <is>
          <t>https://www.sec.gov/Archives/edgar/data/1534701/000153470126000006/psx-20251231.htm</t>
        </is>
      </c>
      <c r="J8" s="6" t="inlineStr">
        <is>
          <t>Yellowstone Montana/Washington 46 710 68</t>
        </is>
      </c>
      <c r="K8" s="6" t="inlineStr"/>
      <c r="L8" s="6" t="inlineStr">
        <is>
          <t>Yes</t>
        </is>
      </c>
      <c r="M8" s="6" t="n">
        <v>2</v>
      </c>
    </row>
    <row r="9">
      <c r="A9" s="2" t="inlineStr">
        <is>
          <t>Refined products</t>
        </is>
      </c>
      <c r="B9" s="2" t="inlineStr">
        <is>
          <t>Pioneer Pipeline</t>
        </is>
      </c>
      <c r="C9" s="2" t="inlineStr">
        <is>
          <t>Sinclair, WY to Salt Lake City, UT</t>
        </is>
      </c>
      <c r="D9" s="9" t="n">
        <v>63000</v>
      </c>
      <c r="E9" s="2" t="inlineStr">
        <is>
          <t>Capacity</t>
        </is>
      </c>
      <c r="F9" s="2" t="inlineStr">
        <is>
          <t>2025</t>
        </is>
      </c>
      <c r="G9" s="2" t="inlineStr">
        <is>
          <t>Company SEC filing</t>
        </is>
      </c>
      <c r="H9" s="2" t="inlineStr">
        <is>
          <t>Phillips 66, Form 10-K for 2025, pipeline table</t>
        </is>
      </c>
      <c r="I9" s="10" t="inlineStr">
        <is>
          <t>https://www.sec.gov/Archives/edgar/data/1534701/000153470126000006/psx-20251231.htm</t>
        </is>
      </c>
      <c r="J9" s="2" t="inlineStr">
        <is>
          <t>Pioneer Wyoming/Utah 50 562 63</t>
        </is>
      </c>
      <c r="K9" s="2" t="inlineStr"/>
      <c r="L9" s="2" t="inlineStr">
        <is>
          <t>Yes</t>
        </is>
      </c>
      <c r="M9" s="2" t="n">
        <v>1</v>
      </c>
    </row>
    <row r="10">
      <c r="A10" s="6" t="inlineStr">
        <is>
          <t>Refined products</t>
        </is>
      </c>
      <c r="B10" s="6" t="inlineStr">
        <is>
          <t>Borger to Denver</t>
        </is>
      </c>
      <c r="C10" s="6" t="inlineStr">
        <is>
          <t>Borger, TX to Denver, CO</t>
        </is>
      </c>
      <c r="D10" s="7" t="n">
        <v>39000</v>
      </c>
      <c r="E10" s="6" t="inlineStr">
        <is>
          <t>Capacity</t>
        </is>
      </c>
      <c r="F10" s="6" t="inlineStr">
        <is>
          <t>2025</t>
        </is>
      </c>
      <c r="G10" s="6" t="inlineStr">
        <is>
          <t>Company SEC filing</t>
        </is>
      </c>
      <c r="H10" s="6" t="inlineStr">
        <is>
          <t>Phillips 66, Form 10-K for 2025, pipeline table</t>
        </is>
      </c>
      <c r="I10" s="8" t="inlineStr">
        <is>
          <t>https://www.sec.gov/Archives/edgar/data/1534701/000153470126000006/psx-20251231.htm</t>
        </is>
      </c>
      <c r="J10" s="6" t="inlineStr">
        <is>
          <t>Borger-Denver Texas/Colorado 65 207 39</t>
        </is>
      </c>
      <c r="K10" s="6" t="inlineStr"/>
      <c r="L10" s="6" t="inlineStr">
        <is>
          <t>Yes</t>
        </is>
      </c>
      <c r="M10" s="6" t="n">
        <v>1</v>
      </c>
    </row>
    <row r="11">
      <c r="A11" s="2" t="inlineStr">
        <is>
          <t>Refined products</t>
        </is>
      </c>
      <c r="B11" s="2" t="inlineStr">
        <is>
          <t>UNEV Pipeline</t>
        </is>
      </c>
      <c r="C11" s="2" t="inlineStr">
        <is>
          <t>Woods Cross (Salt Lake City), UT to Las Vegas, NV</t>
        </is>
      </c>
      <c r="D11" s="9" t="n">
        <v>62000</v>
      </c>
      <c r="E11" s="2" t="inlineStr">
        <is>
          <t>Capacity</t>
        </is>
      </c>
      <c r="F11" s="2" t="inlineStr">
        <is>
          <t>2020</t>
        </is>
      </c>
      <c r="G11" s="2" t="inlineStr">
        <is>
          <t>Company SEC filing</t>
        </is>
      </c>
      <c r="H11" s="2" t="inlineStr">
        <is>
          <t>Holly Energy Partners, Form 10-K for 2020, pipeline table</t>
        </is>
      </c>
      <c r="I11" s="10" t="inlineStr">
        <is>
          <t>https://www.sec.gov/Archives/edgar/data/1283140/000128314021000012/hfc-20201231.htm</t>
        </is>
      </c>
      <c r="J11" s="2" t="inlineStr">
        <is>
          <t>Woods Cross, UT to Las Vegas, NV 12 427 62,000 [diameter in, miles, capacity bpd]</t>
        </is>
      </c>
      <c r="K11" s="2" t="inlineStr"/>
      <c r="L11" s="2" t="inlineStr">
        <is>
          <t>Yes</t>
        </is>
      </c>
      <c r="M11" s="2" t="n">
        <v>2</v>
      </c>
    </row>
    <row r="12">
      <c r="A12" s="6" t="inlineStr">
        <is>
          <t>Refined products</t>
        </is>
      </c>
      <c r="B12" s="6" t="inlineStr">
        <is>
          <t>Northwest Products System (Salt Lake City to Spokane)</t>
        </is>
      </c>
      <c r="C12" s="6" t="inlineStr">
        <is>
          <t>Salt Lake City, UT to Boise, ID, Pasco and Spokane, WA</t>
        </is>
      </c>
      <c r="D12" s="7" t="n">
        <v>87000</v>
      </c>
      <c r="E12" s="6" t="inlineStr">
        <is>
          <t>Throughput (2012 average)</t>
        </is>
      </c>
      <c r="F12" s="6" t="inlineStr">
        <is>
          <t>2012</t>
        </is>
      </c>
      <c r="G12" s="6" t="inlineStr">
        <is>
          <t>Company SEC filing</t>
        </is>
      </c>
      <c r="H12" s="6" t="inlineStr">
        <is>
          <t>Tesoro Logistics, press release filed with the SEC (Exhibit 99.1), 2013</t>
        </is>
      </c>
      <c r="I12" s="8" t="inlineStr">
        <is>
          <t>https://www.sec.gov/Archives/edgar/data/1507615/000150761513000038/tllpex991pressrelease.htm</t>
        </is>
      </c>
      <c r="J12" s="6" t="inlineStr">
        <is>
          <t>For 2012, throughput volumes on the pipeline system averaged approximately 87,000 barrels per day.</t>
        </is>
      </c>
      <c r="K12" s="6" t="inlineStr">
        <is>
          <t>Sold by Chevron to Tesoro Logistics in 2013; now operated by Marathon. Capacity not published; drawn at 2012 throughput</t>
        </is>
      </c>
      <c r="L12" s="6" t="inlineStr">
        <is>
          <t>Yes</t>
        </is>
      </c>
      <c r="M12" s="6" t="n">
        <v>2</v>
      </c>
    </row>
    <row r="13">
      <c r="A13" s="2" t="inlineStr">
        <is>
          <t>Refined products</t>
        </is>
      </c>
      <c r="B13" s="2" t="inlineStr">
        <is>
          <t>Wolverine Pipe Line</t>
        </is>
      </c>
      <c r="C13" s="2" t="inlineStr">
        <is>
          <t>Chicago area to Michigan and northwest Indiana</t>
        </is>
      </c>
      <c r="D13" s="9" t="n">
        <v>357000</v>
      </c>
      <c r="E13" s="2" t="inlineStr">
        <is>
          <t>Throughput (about 15 million gallons a day)</t>
        </is>
      </c>
      <c r="F13" s="2" t="inlineStr">
        <is>
          <t>2026</t>
        </is>
      </c>
      <c r="G13" s="2" t="inlineStr">
        <is>
          <t>Company website</t>
        </is>
      </c>
      <c r="H13" s="2" t="inlineStr">
        <is>
          <t>Wolverine Pipe Line Company: Who is Wolverine</t>
        </is>
      </c>
      <c r="I13" s="10" t="inlineStr">
        <is>
          <t>https://wolverinepipeline.com/who-is-wolverine-pipe-line-company/</t>
        </is>
      </c>
      <c r="J13" s="2" t="inlineStr">
        <is>
          <t>approximately fifteen million gallons of products a day</t>
        </is>
      </c>
      <c r="K13" s="2" t="inlineStr">
        <is>
          <t>15 million gallons at 42 gallons a barrel is about 357,000 b/d. Capacity not published; drawn at stated throughput</t>
        </is>
      </c>
      <c r="L13" s="2" t="inlineStr">
        <is>
          <t>Yes</t>
        </is>
      </c>
      <c r="M13" s="2" t="n">
        <v>1</v>
      </c>
    </row>
    <row r="14">
      <c r="A14" s="6" t="inlineStr">
        <is>
          <t>Refined products</t>
        </is>
      </c>
      <c r="B14" s="6" t="inlineStr">
        <is>
          <t>Olympic Pipeline</t>
        </is>
      </c>
      <c r="C14" s="6" t="inlineStr">
        <is>
          <t>Blaine/Ferndale, WA to Portland, OR</t>
        </is>
      </c>
      <c r="D14" s="7" t="n">
        <v>300000</v>
      </c>
      <c r="E14" s="6" t="inlineStr">
        <is>
          <t>Capacity (press-reported)</t>
        </is>
      </c>
      <c r="F14" s="6" t="inlineStr"/>
      <c r="G14" s="6" t="inlineStr">
        <is>
          <t>Press</t>
        </is>
      </c>
      <c r="H14" s="6" t="inlineStr">
        <is>
          <t>Skagit Valley Herald (goskagit.com), citing BP; Global Energy Monitor gives about 325,000</t>
        </is>
      </c>
      <c r="I14" s="8" t="inlineStr">
        <is>
          <t>https://www.goskagit.com/news/local_news/work-planned-for-olympic-pipeline/article_e21abba8-d69e-5735-bace-223d07386733.html</t>
        </is>
      </c>
      <c r="J14" s="6" t="inlineStr"/>
      <c r="K14" s="6" t="inlineStr">
        <is>
          <t>Not confirmed from an operator or official document; drawn at the reported figure</t>
        </is>
      </c>
      <c r="L14" s="6" t="inlineStr">
        <is>
          <t>Yes</t>
        </is>
      </c>
      <c r="M14" s="6" t="n">
        <v>1</v>
      </c>
    </row>
    <row r="15">
      <c r="A15" s="2" t="inlineStr">
        <is>
          <t>Refined products</t>
        </is>
      </c>
      <c r="B15" s="2" t="inlineStr">
        <is>
          <t>Laurel Pipeline</t>
        </is>
      </c>
      <c r="C15" s="2" t="inlineStr">
        <is>
          <t>Philadelphia, PA to Pittsburgh, PA</t>
        </is>
      </c>
      <c r="D15" s="9" t="n">
        <v>180000</v>
      </c>
      <c r="E15" s="2" t="inlineStr">
        <is>
          <t>Capacity (press-reported)</t>
        </is>
      </c>
      <c r="F15" s="2" t="inlineStr"/>
      <c r="G15" s="2" t="inlineStr">
        <is>
          <t>Press</t>
        </is>
      </c>
      <c r="H15" s="2" t="inlineStr">
        <is>
          <t>Philadelphia Inquirer / Global Energy Monitor</t>
        </is>
      </c>
      <c r="I15" s="10" t="inlineStr">
        <is>
          <t>https://www.gem.wiki/Laurel_Pipeline</t>
        </is>
      </c>
      <c r="J15" s="2" t="inlineStr"/>
      <c r="K15" s="2" t="inlineStr">
        <is>
          <t>Not confirmed from an operator or official document; drawn at the reported figure</t>
        </is>
      </c>
      <c r="L15" s="2" t="inlineStr">
        <is>
          <t>Yes</t>
        </is>
      </c>
      <c r="M15" s="2" t="n">
        <v>8</v>
      </c>
    </row>
    <row r="16">
      <c r="A16" s="6" t="inlineStr">
        <is>
          <t>Refined products</t>
        </is>
      </c>
      <c r="B16" s="6" t="inlineStr">
        <is>
          <t>CALNEV Pipeline</t>
        </is>
      </c>
      <c r="C16" s="6" t="inlineStr">
        <is>
          <t>Colton, CA to Las Vegas, NV</t>
        </is>
      </c>
      <c r="D16" s="7" t="n">
        <v>128000</v>
      </c>
      <c r="E16" s="6" t="inlineStr">
        <is>
          <t>Volume (press-reported)</t>
        </is>
      </c>
      <c r="F16" s="6" t="inlineStr"/>
      <c r="G16" s="6" t="inlineStr">
        <is>
          <t>Press</t>
        </is>
      </c>
      <c r="H16" s="6" t="inlineStr">
        <is>
          <t>Wikipedia / Global Energy Monitor</t>
        </is>
      </c>
      <c r="I16" s="8" t="inlineStr">
        <is>
          <t>https://www.gem.wiki/Calnev_Oil_Products_Pipeline</t>
        </is>
      </c>
      <c r="J16" s="6" t="inlineStr"/>
      <c r="K16" s="6" t="inlineStr">
        <is>
          <t>Not confirmed from an operator or official document; drawn at the reported figure</t>
        </is>
      </c>
      <c r="L16" s="6" t="inlineStr">
        <is>
          <t>Yes</t>
        </is>
      </c>
      <c r="M16" s="6" t="n">
        <v>2</v>
      </c>
    </row>
    <row r="17">
      <c r="A17" s="2" t="inlineStr">
        <is>
          <t>Refined products</t>
        </is>
      </c>
      <c r="B17" s="2" t="inlineStr">
        <is>
          <t>Centennial Pipeline</t>
        </is>
      </c>
      <c r="C17" s="2" t="inlineStr">
        <is>
          <t>Beaumont, TX to Bourbon, IL</t>
        </is>
      </c>
      <c r="D17" s="9" t="n">
        <v>210000</v>
      </c>
      <c r="E17" s="2" t="inlineStr">
        <is>
          <t>Design capacity at opening (2002)</t>
        </is>
      </c>
      <c r="F17" s="2" t="inlineStr">
        <is>
          <t>2002</t>
        </is>
      </c>
      <c r="G17" s="2" t="inlineStr">
        <is>
          <t>Press</t>
        </is>
      </c>
      <c r="H17" s="2" t="inlineStr">
        <is>
          <t>Power Engineering (2002)</t>
        </is>
      </c>
      <c r="I17" s="10" t="inlineStr">
        <is>
          <t>https://www.power-eng.com/operations-maintenance/centennial-pipeline-announces-beginning-of-full-operation/</t>
        </is>
      </c>
      <c r="J17" s="2" t="inlineStr"/>
      <c r="K17" s="2" t="inlineStr">
        <is>
          <t>Current operating status not confirmed; drawn at its 2002 design capacity</t>
        </is>
      </c>
      <c r="L17" s="2" t="inlineStr">
        <is>
          <t>Yes</t>
        </is>
      </c>
      <c r="M17" s="2" t="n">
        <v>1</v>
      </c>
    </row>
    <row r="18">
      <c r="A18" s="6" t="inlineStr">
        <is>
          <t>Refined products</t>
        </is>
      </c>
      <c r="B18" s="6" t="inlineStr">
        <is>
          <t>SFPP (Kinder Morgan Pacific system)</t>
        </is>
      </c>
      <c r="C18" s="6" t="inlineStr">
        <is>
          <t>Los Angeles and Bay Area to Arizona, Nevada and Oregon; El Paso to Phoenix</t>
        </is>
      </c>
      <c r="D18" s="7" t="n"/>
      <c r="E18" s="6" t="inlineStr">
        <is>
          <t>Not published</t>
        </is>
      </c>
      <c r="F18" s="6" t="inlineStr"/>
      <c r="G18" s="6" t="inlineStr">
        <is>
          <t>Company website</t>
        </is>
      </c>
      <c r="H18" s="6" t="inlineStr">
        <is>
          <t>Kinder Morgan Products Pipelines</t>
        </is>
      </c>
      <c r="I18" s="8" t="inlineStr">
        <is>
          <t>https://kindermorgan.com/Operations/Products/Index</t>
        </is>
      </c>
      <c r="J18" s="6" t="inlineStr"/>
      <c r="K18" s="6" t="inlineStr">
        <is>
          <t>Kinder Morgan publishes no line capacity for SFPP. The Western Gateway line (Texas to Arizona, 230,000 b/d design) reached a final investment decision in Aug 2026</t>
        </is>
      </c>
      <c r="L18" s="6" t="inlineStr">
        <is>
          <t>No (thin)</t>
        </is>
      </c>
      <c r="M18" s="6" t="n">
        <v>12</v>
      </c>
    </row>
    <row r="19">
      <c r="A19" s="2" t="inlineStr">
        <is>
          <t>Refined products</t>
        </is>
      </c>
      <c r="B19" s="2" t="inlineStr">
        <is>
          <t>Networks with no single capacity (Magellan/ONEOK, NuStar, Buckeye, TEPPCO, Marathon, BP, Sunoco and others)</t>
        </is>
      </c>
      <c r="C19" s="2" t="inlineStr">
        <is>
          <t>Gulf Coast and Mid-Continent to the Midwest and Northeast</t>
        </is>
      </c>
      <c r="D19" s="9" t="n"/>
      <c r="E19" s="2" t="inlineStr">
        <is>
          <t>Not published</t>
        </is>
      </c>
      <c r="F19" s="2" t="inlineStr"/>
      <c r="G19" s="2" t="inlineStr">
        <is>
          <t>Company SEC filing</t>
        </is>
      </c>
      <c r="H19" s="2" t="inlineStr">
        <is>
          <t>e.g. Magellan Midstream Partners, Form 10-K for 2022: a 9,800-mile refined products system with no capacity by line</t>
        </is>
      </c>
      <c r="I19" s="10" t="inlineStr">
        <is>
          <t>https://www.sec.gov/Archives/edgar/data/1126975/000112697523000064/mmp-20221231.htm</t>
        </is>
      </c>
      <c r="J19" s="2" t="inlineStr"/>
      <c r="K19" s="2" t="inlineStr">
        <is>
          <t>Drawn thin</t>
        </is>
      </c>
      <c r="L19" s="2" t="inlineStr">
        <is>
          <t>No (thin)</t>
        </is>
      </c>
      <c r="M19" s="2" t="inlineStr"/>
    </row>
    <row r="20">
      <c r="A20" s="6" t="inlineStr">
        <is>
          <t>Crude oil</t>
        </is>
      </c>
      <c r="B20" s="6" t="inlineStr">
        <is>
          <t>Enbridge Canadian Mainline</t>
        </is>
      </c>
      <c r="C20" s="6" t="inlineStr">
        <is>
          <t>Edmonton, AB to the US border at Neche, ND / Gretna, MB</t>
        </is>
      </c>
      <c r="D20" s="7" t="n">
        <v>3200000</v>
      </c>
      <c r="E20" s="6" t="inlineStr">
        <is>
          <t>Capacity</t>
        </is>
      </c>
      <c r="F20" s="6" t="inlineStr">
        <is>
          <t>2025</t>
        </is>
      </c>
      <c r="G20" s="6" t="inlineStr">
        <is>
          <t>Company SEC filing</t>
        </is>
      </c>
      <c r="H20" s="6" t="inlineStr">
        <is>
          <t>Enbridge Inc., Form 10-K for 2025</t>
        </is>
      </c>
      <c r="I20" s="8" t="inlineStr">
        <is>
          <t>https://www.sec.gov/Archives/edgar/data/895728/000119312526049810/enb-20251231.htm</t>
        </is>
      </c>
      <c r="J20" s="6" t="inlineStr">
        <is>
          <t>The Canadian Mainline includes six adjacent pipelines with a combined operating capacity of approximately 3.2 mmbpd that connect with the Lakehead System at the Canada/US border</t>
        </is>
      </c>
      <c r="K20" s="6" t="inlineStr"/>
      <c r="L20" s="6" t="inlineStr">
        <is>
          <t>Yes</t>
        </is>
      </c>
      <c r="M20" s="6" t="n">
        <v>1</v>
      </c>
    </row>
    <row r="21">
      <c r="A21" s="2" t="inlineStr">
        <is>
          <t>Crude oil</t>
        </is>
      </c>
      <c r="B21" s="2" t="inlineStr">
        <is>
          <t>Enbridge Lakehead System, border to Superior (excluding Line 67)</t>
        </is>
      </c>
      <c r="C21" s="2" t="inlineStr">
        <is>
          <t>Neche, ND to Superior, WI</t>
        </is>
      </c>
      <c r="D21" s="9" t="n">
        <v>2400000</v>
      </c>
      <c r="E21" s="2" t="inlineStr">
        <is>
          <t>Derived capacity</t>
        </is>
      </c>
      <c r="F21" s="2" t="inlineStr">
        <is>
          <t>2025</t>
        </is>
      </c>
      <c r="G21" s="2" t="inlineStr">
        <is>
          <t>Derived from official and company figures</t>
        </is>
      </c>
      <c r="H21" s="2" t="inlineStr">
        <is>
          <t>Enbridge 10-K for 2025 (Mainline 3.2 mmbpd) less Line 67 (800,000 b/d, EIA liquids pipeline projects database)</t>
        </is>
      </c>
      <c r="I21" s="10" t="inlineStr">
        <is>
          <t>https://www.eia.gov/petroleum/xls/EIA_LiqPipProject.xlsx</t>
        </is>
      </c>
      <c r="J21" s="2" t="inlineStr"/>
      <c r="K21" s="2" t="inlineStr">
        <is>
          <t>Line 67 (Alberta Clipper) is drawn separately, so this segment is drawn at 3.2M less 0.8M. Enbridge does not publish a figure for this segment on its own</t>
        </is>
      </c>
      <c r="L21" s="2" t="inlineStr">
        <is>
          <t>Yes</t>
        </is>
      </c>
      <c r="M21" s="2" t="n">
        <v>1</v>
      </c>
    </row>
    <row r="22">
      <c r="A22" s="6" t="inlineStr">
        <is>
          <t>Crude oil</t>
        </is>
      </c>
      <c r="B22" s="6" t="inlineStr">
        <is>
          <t>Enbridge Line 5</t>
        </is>
      </c>
      <c r="C22" s="6" t="inlineStr">
        <is>
          <t>Superior, WI to Sarnia, ON via Michigan</t>
        </is>
      </c>
      <c r="D22" s="7" t="n">
        <v>540000</v>
      </c>
      <c r="E22" s="6" t="inlineStr">
        <is>
          <t>Capacity</t>
        </is>
      </c>
      <c r="F22" s="6" t="inlineStr">
        <is>
          <t>2026</t>
        </is>
      </c>
      <c r="G22" s="6" t="inlineStr">
        <is>
          <t>Company website</t>
        </is>
      </c>
      <c r="H22" s="6" t="inlineStr">
        <is>
          <t>Enbridge: What is Line 5?</t>
        </is>
      </c>
      <c r="I22" s="8" t="inlineStr">
        <is>
          <t>https://www.enbridge.com/projects-and-infrastructure/public-awareness/line-5-answering-your-questions/what-is-line-5</t>
        </is>
      </c>
      <c r="J22" s="6" t="inlineStr">
        <is>
          <t>transports up to 540,000 barrels per day (bpd) of light crude oil, light synthetic crude, and natural gas liquids</t>
        </is>
      </c>
      <c r="K22" s="6" t="inlineStr"/>
      <c r="L22" s="6" t="inlineStr">
        <is>
          <t>Yes</t>
        </is>
      </c>
      <c r="M22" s="6" t="n">
        <v>1</v>
      </c>
    </row>
    <row r="23">
      <c r="A23" s="2" t="inlineStr">
        <is>
          <t>Crude oil</t>
        </is>
      </c>
      <c r="B23" s="2" t="inlineStr">
        <is>
          <t>Enbridge Alberta Clipper (Line 67)</t>
        </is>
      </c>
      <c r="C23" s="2" t="inlineStr">
        <is>
          <t>Hardisty, AB to Superior, WI</t>
        </is>
      </c>
      <c r="D23" s="9" t="n">
        <v>800000</v>
      </c>
      <c r="E23" s="2" t="inlineStr">
        <is>
          <t>Capacity</t>
        </is>
      </c>
      <c r="F23" s="2" t="inlineStr">
        <is>
          <t>2017</t>
        </is>
      </c>
      <c r="G23" s="2" t="inlineStr">
        <is>
          <t>Official (EIA)</t>
        </is>
      </c>
      <c r="H23" s="2" t="inlineStr">
        <is>
          <t>EIA, Liquids pipeline projects database (IDs 83 and 128)</t>
        </is>
      </c>
      <c r="I23" s="10" t="inlineStr">
        <is>
          <t>https://www.eia.gov/petroleum/xls/EIA_LiqPipProject.xlsx</t>
        </is>
      </c>
      <c r="J23" s="2" t="inlineStr">
        <is>
          <t>Upgrading of pumps brought U.S. capacity up from 570,000 b/d to 800,000 b/d</t>
        </is>
      </c>
      <c r="K23" s="2" t="inlineStr"/>
      <c r="L23" s="2" t="inlineStr">
        <is>
          <t>Yes</t>
        </is>
      </c>
      <c r="M23" s="2" t="n">
        <v>1</v>
      </c>
    </row>
    <row r="24">
      <c r="A24" s="6" t="inlineStr">
        <is>
          <t>Crude oil</t>
        </is>
      </c>
      <c r="B24" s="6" t="inlineStr">
        <is>
          <t>Enbridge Southern Access (Line 61)</t>
        </is>
      </c>
      <c r="C24" s="6" t="inlineStr">
        <is>
          <t>Superior, WI to Flanagan, IL</t>
        </is>
      </c>
      <c r="D24" s="7" t="n">
        <v>1200000</v>
      </c>
      <c r="E24" s="6" t="inlineStr">
        <is>
          <t>Capacity</t>
        </is>
      </c>
      <c r="F24" s="6" t="inlineStr">
        <is>
          <t>2021</t>
        </is>
      </c>
      <c r="G24" s="6" t="inlineStr">
        <is>
          <t>Official (EIA)</t>
        </is>
      </c>
      <c r="H24" s="6" t="inlineStr">
        <is>
          <t>EIA, Liquids pipeline projects database (ID 199)</t>
        </is>
      </c>
      <c r="I24" s="8" t="inlineStr">
        <is>
          <t>https://www.eia.gov/petroleum/xls/EIA_LiqPipProject.xlsx</t>
        </is>
      </c>
      <c r="J24" s="6" t="inlineStr">
        <is>
          <t>Capacity increased from 950,000 b/d to 1,200,000 b/d.</t>
        </is>
      </c>
      <c r="K24" s="6" t="inlineStr"/>
      <c r="L24" s="6" t="inlineStr">
        <is>
          <t>Yes</t>
        </is>
      </c>
      <c r="M24" s="6" t="n">
        <v>1</v>
      </c>
    </row>
    <row r="25">
      <c r="A25" s="2" t="inlineStr">
        <is>
          <t>Crude oil</t>
        </is>
      </c>
      <c r="B25" s="2" t="inlineStr">
        <is>
          <t>Spearhead Pipeline</t>
        </is>
      </c>
      <c r="C25" s="2" t="inlineStr">
        <is>
          <t>Flanagan, IL to Cushing, OK</t>
        </is>
      </c>
      <c r="D25" s="9" t="n">
        <v>193000</v>
      </c>
      <c r="E25" s="2" t="inlineStr">
        <is>
          <t>Capacity</t>
        </is>
      </c>
      <c r="F25" s="2" t="inlineStr">
        <is>
          <t>2025</t>
        </is>
      </c>
      <c r="G25" s="2" t="inlineStr">
        <is>
          <t>Company SEC filing</t>
        </is>
      </c>
      <c r="H25" s="2" t="inlineStr">
        <is>
          <t>Enbridge Inc., Form 10-K for 2025</t>
        </is>
      </c>
      <c r="I25" s="10" t="inlineStr">
        <is>
          <t>https://www.sec.gov/Archives/edgar/data/895728/000119312526049810/enb-20251231.htm</t>
        </is>
      </c>
      <c r="J25" s="2" t="inlineStr">
        <is>
          <t>The Spearhead Pipeline has a capacity of approximately 193 kbpd.</t>
        </is>
      </c>
      <c r="K25" s="2" t="inlineStr"/>
      <c r="L25" s="2" t="inlineStr">
        <is>
          <t>Yes</t>
        </is>
      </c>
      <c r="M25" s="2" t="n">
        <v>1</v>
      </c>
    </row>
    <row r="26">
      <c r="A26" s="6" t="inlineStr">
        <is>
          <t>Crude oil</t>
        </is>
      </c>
      <c r="B26" s="6" t="inlineStr">
        <is>
          <t>Ozark Pipeline (Midcontinent)</t>
        </is>
      </c>
      <c r="C26" s="6" t="inlineStr">
        <is>
          <t>Cushing, OK to Wood River, IL</t>
        </is>
      </c>
      <c r="D26" s="7" t="n">
        <v>360000</v>
      </c>
      <c r="E26" s="6" t="inlineStr">
        <is>
          <t>Capacity</t>
        </is>
      </c>
      <c r="F26" s="6" t="inlineStr">
        <is>
          <t>2018</t>
        </is>
      </c>
      <c r="G26" s="6" t="inlineStr">
        <is>
          <t>Official (EIA)</t>
        </is>
      </c>
      <c r="H26" s="6" t="inlineStr">
        <is>
          <t>EIA, Liquids pipeline projects database (ID 138)</t>
        </is>
      </c>
      <c r="I26" s="8" t="inlineStr">
        <is>
          <t>https://www.eia.gov/petroleum/xls/EIA_LiqPipProject.xlsx</t>
        </is>
      </c>
      <c r="J26" s="6" t="inlineStr">
        <is>
          <t>Capacity expanded from about 230,000 b/d to 360,000 b/d.</t>
        </is>
      </c>
      <c r="K26" s="6" t="inlineStr"/>
      <c r="L26" s="6" t="inlineStr">
        <is>
          <t>Yes</t>
        </is>
      </c>
      <c r="M26" s="6" t="n">
        <v>1</v>
      </c>
    </row>
    <row r="27">
      <c r="A27" s="2" t="inlineStr">
        <is>
          <t>Crude oil</t>
        </is>
      </c>
      <c r="B27" s="2" t="inlineStr">
        <is>
          <t>Express Pipeline</t>
        </is>
      </c>
      <c r="C27" s="2" t="inlineStr">
        <is>
          <t>Hardisty, AB to Casper, WY</t>
        </is>
      </c>
      <c r="D27" s="9" t="n">
        <v>310000</v>
      </c>
      <c r="E27" s="2" t="inlineStr">
        <is>
          <t>Capacity</t>
        </is>
      </c>
      <c r="F27" s="2" t="inlineStr">
        <is>
          <t>2025</t>
        </is>
      </c>
      <c r="G27" s="2" t="inlineStr">
        <is>
          <t>Company SEC filing</t>
        </is>
      </c>
      <c r="H27" s="2" t="inlineStr">
        <is>
          <t>Enbridge Inc., Form 10-K for 2025</t>
        </is>
      </c>
      <c r="I27" s="10" t="inlineStr">
        <is>
          <t>https://www.sec.gov/Archives/edgar/data/895728/000119312526049810/enb-20251231.htm</t>
        </is>
      </c>
      <c r="J27" s="2" t="inlineStr">
        <is>
          <t>The 310 kbpd Express Pipeline carries crude oil to US refining markets in the Rocky Mountains area</t>
        </is>
      </c>
      <c r="K27" s="2" t="inlineStr"/>
      <c r="L27" s="2" t="inlineStr">
        <is>
          <t>Yes</t>
        </is>
      </c>
      <c r="M27" s="2" t="n">
        <v>1</v>
      </c>
    </row>
    <row r="28">
      <c r="A28" s="6" t="inlineStr">
        <is>
          <t>Crude oil</t>
        </is>
      </c>
      <c r="B28" s="6" t="inlineStr">
        <is>
          <t>Platte Pipeline</t>
        </is>
      </c>
      <c r="C28" s="6" t="inlineStr">
        <is>
          <t>Casper, WY to Wood River, IL</t>
        </is>
      </c>
      <c r="D28" s="7" t="n">
        <v>145000</v>
      </c>
      <c r="E28" s="6" t="inlineStr">
        <is>
          <t>Capacity</t>
        </is>
      </c>
      <c r="F28" s="6" t="inlineStr">
        <is>
          <t>2025</t>
        </is>
      </c>
      <c r="G28" s="6" t="inlineStr">
        <is>
          <t>Company SEC filing</t>
        </is>
      </c>
      <c r="H28" s="6" t="inlineStr">
        <is>
          <t>Enbridge Inc., Form 10-K for 2025</t>
        </is>
      </c>
      <c r="I28" s="8" t="inlineStr">
        <is>
          <t>https://www.sec.gov/Archives/edgar/data/895728/000119312526049810/enb-20251231.htm</t>
        </is>
      </c>
      <c r="J28" s="6" t="inlineStr">
        <is>
          <t>The 145 to 164 kbpd Platte Pipeline</t>
        </is>
      </c>
      <c r="K28" s="6" t="inlineStr">
        <is>
          <t>164k b/d on the first segment (Casper to Guernsey); 145k b/d beyond</t>
        </is>
      </c>
      <c r="L28" s="6" t="inlineStr">
        <is>
          <t>Yes</t>
        </is>
      </c>
      <c r="M28" s="6" t="n">
        <v>1</v>
      </c>
    </row>
    <row r="29">
      <c r="A29" s="2" t="inlineStr">
        <is>
          <t>Crude oil</t>
        </is>
      </c>
      <c r="B29" s="2" t="inlineStr">
        <is>
          <t>Keystone Pipeline, Hardisty to Steele City</t>
        </is>
      </c>
      <c r="C29" s="2" t="inlineStr">
        <is>
          <t>Hardisty, AB to Steele City, NE</t>
        </is>
      </c>
      <c r="D29" s="9" t="n">
        <v>591000</v>
      </c>
      <c r="E29" s="2" t="inlineStr">
        <is>
          <t>Capacity</t>
        </is>
      </c>
      <c r="F29" s="2" t="inlineStr">
        <is>
          <t>2011</t>
        </is>
      </c>
      <c r="G29" s="2" t="inlineStr">
        <is>
          <t>Official (EIA)</t>
        </is>
      </c>
      <c r="H29" s="2" t="inlineStr">
        <is>
          <t>EIA, Liquids pipeline projects database (ID 3)</t>
        </is>
      </c>
      <c r="I29" s="10" t="inlineStr">
        <is>
          <t>https://www.eia.gov/petroleum/xls/EIA_LiqPipProject.xlsx</t>
        </is>
      </c>
      <c r="J29" s="2" t="inlineStr">
        <is>
          <t>brought capacity of the entire system up to 591,000 b/d</t>
        </is>
      </c>
      <c r="K29" s="2" t="inlineStr">
        <is>
          <t>Now owned by South Bow. Later optimisations are reported to have raised it to about 622,000 b/d (S&amp;P Global, July 2022). Legs beyond Steele City to Patoka and Cushing are drawn thin: their split is not published</t>
        </is>
      </c>
      <c r="L29" s="2" t="inlineStr">
        <is>
          <t>Yes</t>
        </is>
      </c>
      <c r="M29" s="2" t="n">
        <v>2</v>
      </c>
    </row>
    <row r="30">
      <c r="A30" s="6" t="inlineStr">
        <is>
          <t>Crude oil</t>
        </is>
      </c>
      <c r="B30" s="6" t="inlineStr">
        <is>
          <t>Keystone Gulf Coast Project</t>
        </is>
      </c>
      <c r="C30" s="6" t="inlineStr">
        <is>
          <t>Cushing, OK to Port Arthur, TX</t>
        </is>
      </c>
      <c r="D30" s="7" t="n">
        <v>700000</v>
      </c>
      <c r="E30" s="6" t="inlineStr">
        <is>
          <t>Capacity</t>
        </is>
      </c>
      <c r="F30" s="6" t="inlineStr">
        <is>
          <t>2014</t>
        </is>
      </c>
      <c r="G30" s="6" t="inlineStr">
        <is>
          <t>Official (EIA)</t>
        </is>
      </c>
      <c r="H30" s="6" t="inlineStr">
        <is>
          <t>EIA, Liquids pipeline projects database (ID 45)</t>
        </is>
      </c>
      <c r="I30" s="8" t="inlineStr">
        <is>
          <t>https://www.eia.gov/petroleum/xls/EIA_LiqPipProject.xlsx</t>
        </is>
      </c>
      <c r="J30" s="6" t="inlineStr">
        <is>
          <t>Extension of Keystone Pipeline that goes from Cushing, Oklahoma, to refineries in Port Arthur, Texas. Expandable to 830,000 b/d.</t>
        </is>
      </c>
      <c r="K30" s="6" t="inlineStr"/>
      <c r="L30" s="6" t="inlineStr">
        <is>
          <t>Yes</t>
        </is>
      </c>
      <c r="M30" s="6" t="n">
        <v>1</v>
      </c>
    </row>
    <row r="31">
      <c r="A31" s="2" t="inlineStr">
        <is>
          <t>Crude oil</t>
        </is>
      </c>
      <c r="B31" s="2" t="inlineStr">
        <is>
          <t>Dakota Access Pipeline</t>
        </is>
      </c>
      <c r="C31" s="2" t="inlineStr">
        <is>
          <t>Bakken, ND to Patoka, IL</t>
        </is>
      </c>
      <c r="D31" s="9" t="n">
        <v>750000</v>
      </c>
      <c r="E31" s="2" t="inlineStr">
        <is>
          <t>Capacity</t>
        </is>
      </c>
      <c r="F31" s="2" t="inlineStr">
        <is>
          <t>2025</t>
        </is>
      </c>
      <c r="G31" s="2" t="inlineStr">
        <is>
          <t>Company SEC filing</t>
        </is>
      </c>
      <c r="H31" s="2" t="inlineStr">
        <is>
          <t>Enbridge Inc., Form 10-K for 2025 (Bakken Pipeline System)</t>
        </is>
      </c>
      <c r="I31" s="10" t="inlineStr">
        <is>
          <t>https://www.sec.gov/Archives/edgar/data/895728/000119312526049810/enb-20251231.htm</t>
        </is>
      </c>
      <c r="J31" s="2" t="inlineStr">
        <is>
          <t>The Bakken Pipeline System consists of the Dakota Access Pipeline ... and the Energy Transfer Crude Oil Pipeline ... Current capacity is approximately 750 kbpd of crude oil</t>
        </is>
      </c>
      <c r="K31" s="2" t="inlineStr"/>
      <c r="L31" s="2" t="inlineStr">
        <is>
          <t>Yes</t>
        </is>
      </c>
      <c r="M31" s="2" t="n">
        <v>1</v>
      </c>
    </row>
    <row r="32">
      <c r="A32" s="6" t="inlineStr">
        <is>
          <t>Crude oil</t>
        </is>
      </c>
      <c r="B32" s="6" t="inlineStr">
        <is>
          <t>Energy Transfer Crude Oil Pipeline (ETCO)</t>
        </is>
      </c>
      <c r="C32" s="6" t="inlineStr">
        <is>
          <t>Patoka, IL to Nederland, TX</t>
        </is>
      </c>
      <c r="D32" s="7" t="n">
        <v>750000</v>
      </c>
      <c r="E32" s="6" t="inlineStr">
        <is>
          <t>Capacity</t>
        </is>
      </c>
      <c r="F32" s="6" t="inlineStr">
        <is>
          <t>2025</t>
        </is>
      </c>
      <c r="G32" s="6" t="inlineStr">
        <is>
          <t>Company SEC filing</t>
        </is>
      </c>
      <c r="H32" s="6" t="inlineStr">
        <is>
          <t>Enbridge Inc., Form 10-K for 2025 (Bakken Pipeline System)</t>
        </is>
      </c>
      <c r="I32" s="8" t="inlineStr">
        <is>
          <t>https://www.sec.gov/Archives/edgar/data/895728/000119312526049810/enb-20251231.htm</t>
        </is>
      </c>
      <c r="J32" s="6" t="inlineStr">
        <is>
          <t>Current capacity is approximately 750 kbpd of crude oil</t>
        </is>
      </c>
      <c r="K32" s="6" t="inlineStr">
        <is>
          <t>Same system capacity as Dakota Access</t>
        </is>
      </c>
      <c r="L32" s="6" t="inlineStr">
        <is>
          <t>Yes</t>
        </is>
      </c>
      <c r="M32" s="6" t="n">
        <v>1</v>
      </c>
    </row>
    <row r="33">
      <c r="A33" s="2" t="inlineStr">
        <is>
          <t>Crude oil</t>
        </is>
      </c>
      <c r="B33" s="2" t="inlineStr">
        <is>
          <t>Pony Express Pipeline</t>
        </is>
      </c>
      <c r="C33" s="2" t="inlineStr">
        <is>
          <t>Guernsey, WY to Cushing, OK</t>
        </is>
      </c>
      <c r="D33" s="9" t="n">
        <v>400000</v>
      </c>
      <c r="E33" s="2" t="inlineStr">
        <is>
          <t>Capacity</t>
        </is>
      </c>
      <c r="F33" s="2" t="inlineStr">
        <is>
          <t>2018</t>
        </is>
      </c>
      <c r="G33" s="2" t="inlineStr">
        <is>
          <t>Official (EIA)</t>
        </is>
      </c>
      <c r="H33" s="2" t="inlineStr">
        <is>
          <t>EIA, Liquids pipeline projects database (ID 145)</t>
        </is>
      </c>
      <c r="I33" s="10" t="inlineStr">
        <is>
          <t>https://www.eia.gov/petroleum/xls/EIA_LiqPipProject.xlsx</t>
        </is>
      </c>
      <c r="J33" s="2" t="inlineStr">
        <is>
          <t>Pump enhancements expand capacity from 320,000 b/d to 400,000 b/d</t>
        </is>
      </c>
      <c r="K33" s="2" t="inlineStr"/>
      <c r="L33" s="2" t="inlineStr">
        <is>
          <t>Yes</t>
        </is>
      </c>
      <c r="M33" s="2" t="n">
        <v>2</v>
      </c>
    </row>
    <row r="34">
      <c r="A34" s="6" t="inlineStr">
        <is>
          <t>Crude oil</t>
        </is>
      </c>
      <c r="B34" s="6" t="inlineStr">
        <is>
          <t>Saddlehorn Pipeline</t>
        </is>
      </c>
      <c r="C34" s="6" t="inlineStr">
        <is>
          <t>Platteville, CO to Cushing, OK</t>
        </is>
      </c>
      <c r="D34" s="7" t="n">
        <v>290000</v>
      </c>
      <c r="E34" s="6" t="inlineStr">
        <is>
          <t>Capacity</t>
        </is>
      </c>
      <c r="F34" s="6" t="inlineStr">
        <is>
          <t>2025</t>
        </is>
      </c>
      <c r="G34" s="6" t="inlineStr">
        <is>
          <t>Company SEC filing</t>
        </is>
      </c>
      <c r="H34" s="6" t="inlineStr">
        <is>
          <t>Plains All American, Form 10-K for 2025</t>
        </is>
      </c>
      <c r="I34" s="8" t="inlineStr">
        <is>
          <t>https://www.sec.gov/Archives/edgar/data/1070423/000107042326000014/paa-20251231.htm</t>
        </is>
      </c>
      <c r="J34" s="6" t="inlineStr">
        <is>
          <t>owns approximately 290,000 barrels per day of capacity in the Saddlehorn Pipeline</t>
        </is>
      </c>
      <c r="K34" s="6" t="inlineStr">
        <is>
          <t>The EIA route combines Saddlehorn and Grand Mesa; drawn at Saddlehorn's capacity</t>
        </is>
      </c>
      <c r="L34" s="6" t="inlineStr">
        <is>
          <t>Yes</t>
        </is>
      </c>
      <c r="M34" s="6" t="n">
        <v>1</v>
      </c>
    </row>
    <row r="35">
      <c r="A35" s="2" t="inlineStr">
        <is>
          <t>Crude oil</t>
        </is>
      </c>
      <c r="B35" s="2" t="inlineStr">
        <is>
          <t>Seaway Pipeline</t>
        </is>
      </c>
      <c r="C35" s="2" t="inlineStr">
        <is>
          <t>Cushing, OK to Freeport/Houston, TX</t>
        </is>
      </c>
      <c r="D35" s="9" t="n">
        <v>950000</v>
      </c>
      <c r="E35" s="2" t="inlineStr">
        <is>
          <t>Capacity</t>
        </is>
      </c>
      <c r="F35" s="2" t="inlineStr">
        <is>
          <t>2025</t>
        </is>
      </c>
      <c r="G35" s="2" t="inlineStr">
        <is>
          <t>Company SEC filing</t>
        </is>
      </c>
      <c r="H35" s="2" t="inlineStr">
        <is>
          <t>Enterprise Products Partners, Form 10-K for 2025</t>
        </is>
      </c>
      <c r="I35" s="10" t="inlineStr">
        <is>
          <t>https://www.sec.gov/Archives/edgar/data/1061219/000106121926000006/epd-20251231.htm</t>
        </is>
      </c>
      <c r="J35" s="2" t="inlineStr">
        <is>
          <t>The aggregate transportation capacity of the Longhaul System is approximately 950 MBPD</t>
        </is>
      </c>
      <c r="K35" s="2" t="inlineStr"/>
      <c r="L35" s="2" t="inlineStr">
        <is>
          <t>Yes</t>
        </is>
      </c>
      <c r="M35" s="2" t="n">
        <v>1</v>
      </c>
    </row>
    <row r="36">
      <c r="A36" s="6" t="inlineStr">
        <is>
          <t>Crude oil</t>
        </is>
      </c>
      <c r="B36" s="6" t="inlineStr">
        <is>
          <t>Gray Oak Pipeline</t>
        </is>
      </c>
      <c r="C36" s="6" t="inlineStr">
        <is>
          <t>Permian Basin to Corpus Christi and Freeport</t>
        </is>
      </c>
      <c r="D36" s="7" t="n">
        <v>900000</v>
      </c>
      <c r="E36" s="6" t="inlineStr">
        <is>
          <t>Capacity</t>
        </is>
      </c>
      <c r="F36" s="6" t="inlineStr">
        <is>
          <t>2025</t>
        </is>
      </c>
      <c r="G36" s="6" t="inlineStr">
        <is>
          <t>Company SEC filing</t>
        </is>
      </c>
      <c r="H36" s="6" t="inlineStr">
        <is>
          <t>Phillips 66, Form 10-K for 2025, pipeline table</t>
        </is>
      </c>
      <c r="I36" s="8" t="inlineStr">
        <is>
          <t>https://www.sec.gov/Archives/edgar/data/1534701/000153470126000006/psx-20251231.htm</t>
        </is>
      </c>
      <c r="J36" s="6" t="inlineStr">
        <is>
          <t>Gray Oak Pipeline Texas 7 862 900</t>
        </is>
      </c>
      <c r="K36" s="6" t="inlineStr"/>
      <c r="L36" s="6" t="inlineStr">
        <is>
          <t>Yes</t>
        </is>
      </c>
      <c r="M36" s="6" t="n">
        <v>3</v>
      </c>
    </row>
    <row r="37">
      <c r="A37" s="2" t="inlineStr">
        <is>
          <t>Crude oil</t>
        </is>
      </c>
      <c r="B37" s="2" t="inlineStr">
        <is>
          <t>Cactus Pipeline</t>
        </is>
      </c>
      <c r="C37" s="2" t="inlineStr">
        <is>
          <t>McCamey, TX to Gardendale/Corpus Christi, TX</t>
        </is>
      </c>
      <c r="D37" s="9" t="n">
        <v>390000</v>
      </c>
      <c r="E37" s="2" t="inlineStr">
        <is>
          <t>Capacity</t>
        </is>
      </c>
      <c r="F37" s="2" t="inlineStr">
        <is>
          <t>2025</t>
        </is>
      </c>
      <c r="G37" s="2" t="inlineStr">
        <is>
          <t>Company SEC filing</t>
        </is>
      </c>
      <c r="H37" s="2" t="inlineStr">
        <is>
          <t>Plains All American, Form 10-K for 2025</t>
        </is>
      </c>
      <c r="I37" s="10" t="inlineStr">
        <is>
          <t>https://www.sec.gov/Archives/edgar/data/1070423/000107042326000014/paa-20251231.htm</t>
        </is>
      </c>
      <c r="J37" s="2" t="inlineStr">
        <is>
          <t>the Cactus Pipeline, which has a capacity of 390,000 barrels per day</t>
        </is>
      </c>
      <c r="K37" s="2" t="inlineStr">
        <is>
          <t>Cactus II (Wink to Ingleside, 670,000 b/d per EIA) is not a separate route in the EIA layer</t>
        </is>
      </c>
      <c r="L37" s="2" t="inlineStr">
        <is>
          <t>Yes</t>
        </is>
      </c>
      <c r="M37" s="2" t="n">
        <v>2</v>
      </c>
    </row>
    <row r="38">
      <c r="A38" s="6" t="inlineStr">
        <is>
          <t>Crude oil</t>
        </is>
      </c>
      <c r="B38" s="6" t="inlineStr">
        <is>
          <t>EPIC Crude Pipeline</t>
        </is>
      </c>
      <c r="C38" s="6" t="inlineStr">
        <is>
          <t>Permian Basin to Corpus Christi</t>
        </is>
      </c>
      <c r="D38" s="7" t="n">
        <v>600000</v>
      </c>
      <c r="E38" s="6" t="inlineStr">
        <is>
          <t>Capacity</t>
        </is>
      </c>
      <c r="F38" s="6" t="inlineStr">
        <is>
          <t>2020</t>
        </is>
      </c>
      <c r="G38" s="6" t="inlineStr">
        <is>
          <t>Official (EIA)</t>
        </is>
      </c>
      <c r="H38" s="6" t="inlineStr">
        <is>
          <t>EIA, Liquids pipeline projects database (ID 163)</t>
        </is>
      </c>
      <c r="I38" s="8" t="inlineStr">
        <is>
          <t>https://www.eia.gov/petroleum/xls/EIA_LiqPipProject.xlsx</t>
        </is>
      </c>
      <c r="J38" s="6" t="inlineStr">
        <is>
          <t>Database field Added Capacity: 600,000 b/d (EPIC Crude Pipeline, completed 2020)</t>
        </is>
      </c>
      <c r="K38" s="6" t="inlineStr"/>
      <c r="L38" s="6" t="inlineStr">
        <is>
          <t>Yes</t>
        </is>
      </c>
      <c r="M38" s="6" t="n">
        <v>1</v>
      </c>
    </row>
    <row r="39">
      <c r="A39" s="2" t="inlineStr">
        <is>
          <t>Crude oil</t>
        </is>
      </c>
      <c r="B39" s="2" t="inlineStr">
        <is>
          <t>BridgeTex Pipeline</t>
        </is>
      </c>
      <c r="C39" s="2" t="inlineStr">
        <is>
          <t>Colorado City, TX to Houston, TX</t>
        </is>
      </c>
      <c r="D39" s="9" t="n">
        <v>440000</v>
      </c>
      <c r="E39" s="2" t="inlineStr">
        <is>
          <t>Capacity</t>
        </is>
      </c>
      <c r="F39" s="2" t="inlineStr">
        <is>
          <t>2025</t>
        </is>
      </c>
      <c r="G39" s="2" t="inlineStr">
        <is>
          <t>Company SEC filing</t>
        </is>
      </c>
      <c r="H39" s="2" t="inlineStr">
        <is>
          <t>Plains All American, Form 10-K for 2025</t>
        </is>
      </c>
      <c r="I39" s="10" t="inlineStr">
        <is>
          <t>https://www.sec.gov/Archives/edgar/data/1070423/000107042326000014/paa-20251231.htm</t>
        </is>
      </c>
      <c r="J39" s="2" t="inlineStr">
        <is>
          <t>The BridgeTex pipeline has a capacity of approximately 440,000 barrels per day</t>
        </is>
      </c>
      <c r="K39" s="2" t="inlineStr"/>
      <c r="L39" s="2" t="inlineStr">
        <is>
          <t>Yes</t>
        </is>
      </c>
      <c r="M39" s="2" t="n">
        <v>1</v>
      </c>
    </row>
    <row r="40">
      <c r="A40" s="6" t="inlineStr">
        <is>
          <t>Crude oil</t>
        </is>
      </c>
      <c r="B40" s="6" t="inlineStr">
        <is>
          <t>Longhorn Pipeline</t>
        </is>
      </c>
      <c r="C40" s="6" t="inlineStr">
        <is>
          <t>Crane, TX to Houston, TX</t>
        </is>
      </c>
      <c r="D40" s="7" t="n">
        <v>275000</v>
      </c>
      <c r="E40" s="6" t="inlineStr">
        <is>
          <t>Capacity</t>
        </is>
      </c>
      <c r="F40" s="6" t="inlineStr">
        <is>
          <t>2014</t>
        </is>
      </c>
      <c r="G40" s="6" t="inlineStr">
        <is>
          <t>Official (EIA)</t>
        </is>
      </c>
      <c r="H40" s="6" t="inlineStr">
        <is>
          <t>EIA, Liquids pipeline projects database (ID 69)</t>
        </is>
      </c>
      <c r="I40" s="8" t="inlineStr">
        <is>
          <t>https://www.eia.gov/petroleum/xls/EIA_LiqPipProject.xlsx</t>
        </is>
      </c>
      <c r="J40" s="6" t="inlineStr">
        <is>
          <t>Capacity increased from 225,000 b/d to 275,000 b/d.</t>
        </is>
      </c>
      <c r="K40" s="6" t="inlineStr"/>
      <c r="L40" s="6" t="inlineStr">
        <is>
          <t>Yes</t>
        </is>
      </c>
      <c r="M40" s="6" t="n">
        <v>1</v>
      </c>
    </row>
    <row r="41">
      <c r="A41" s="2" t="inlineStr">
        <is>
          <t>Crude oil</t>
        </is>
      </c>
      <c r="B41" s="2" t="inlineStr">
        <is>
          <t>Basin Pipeline</t>
        </is>
      </c>
      <c r="C41" s="2" t="inlineStr">
        <is>
          <t>Wink/Midland, TX to Cushing, OK</t>
        </is>
      </c>
      <c r="D41" s="9" t="n">
        <v>600000</v>
      </c>
      <c r="E41" s="2" t="inlineStr">
        <is>
          <t>Capacity (Wink to Midland segment)</t>
        </is>
      </c>
      <c r="F41" s="2" t="inlineStr">
        <is>
          <t>2015</t>
        </is>
      </c>
      <c r="G41" s="2" t="inlineStr">
        <is>
          <t>Official (EIA)</t>
        </is>
      </c>
      <c r="H41" s="2" t="inlineStr">
        <is>
          <t>EIA, Liquids pipeline projects database (ID 90)</t>
        </is>
      </c>
      <c r="I41" s="10" t="inlineStr">
        <is>
          <t>https://www.eia.gov/petroleum/xls/EIA_LiqPipProject.xlsx</t>
        </is>
      </c>
      <c r="J41" s="2" t="inlineStr">
        <is>
          <t>bring total capacity from 240,000 b/d to 600,000 b/d</t>
        </is>
      </c>
      <c r="K41" s="2" t="inlineStr">
        <is>
          <t>This figure is for the Wink to Midland segment; the segment north to Cushing is smaller</t>
        </is>
      </c>
      <c r="L41" s="2" t="inlineStr">
        <is>
          <t>Yes</t>
        </is>
      </c>
      <c r="M41" s="2" t="n">
        <v>2</v>
      </c>
    </row>
    <row r="42">
      <c r="A42" s="6" t="inlineStr">
        <is>
          <t>Crude oil</t>
        </is>
      </c>
      <c r="B42" s="6" t="inlineStr">
        <is>
          <t>Midland-to-ECHO 1 (Midland to Sealy)</t>
        </is>
      </c>
      <c r="C42" s="6" t="inlineStr">
        <is>
          <t>Midland, TX to Sealy/Houston, TX</t>
        </is>
      </c>
      <c r="D42" s="7" t="n">
        <v>620000</v>
      </c>
      <c r="E42" s="6" t="inlineStr">
        <is>
          <t>Capacity</t>
        </is>
      </c>
      <c r="F42" s="6" t="inlineStr">
        <is>
          <t>2025</t>
        </is>
      </c>
      <c r="G42" s="6" t="inlineStr">
        <is>
          <t>Company SEC filing</t>
        </is>
      </c>
      <c r="H42" s="6" t="inlineStr">
        <is>
          <t>Enterprise Products Partners, Form 10-K for 2025</t>
        </is>
      </c>
      <c r="I42" s="8" t="inlineStr">
        <is>
          <t>https://www.sec.gov/Archives/edgar/data/1061219/000106121926000006/epd-20251231.htm</t>
        </is>
      </c>
      <c r="J42" s="6" t="inlineStr">
        <is>
          <t>The Midland-to-ECHO 1 Pipeline has an approximate maximum transportation capacity of up to 620 MBPD</t>
        </is>
      </c>
      <c r="K42" s="6" t="inlineStr"/>
      <c r="L42" s="6" t="inlineStr">
        <is>
          <t>Yes</t>
        </is>
      </c>
      <c r="M42" s="6" t="n">
        <v>1</v>
      </c>
    </row>
    <row r="43">
      <c r="A43" s="2" t="inlineStr">
        <is>
          <t>Crude oil</t>
        </is>
      </c>
      <c r="B43" s="2" t="inlineStr">
        <is>
          <t>Diamond Pipeline</t>
        </is>
      </c>
      <c r="C43" s="2" t="inlineStr">
        <is>
          <t>Cushing, OK to Memphis, TN</t>
        </is>
      </c>
      <c r="D43" s="9" t="n">
        <v>200000</v>
      </c>
      <c r="E43" s="2" t="inlineStr">
        <is>
          <t>Capacity</t>
        </is>
      </c>
      <c r="F43" s="2" t="inlineStr">
        <is>
          <t>2025</t>
        </is>
      </c>
      <c r="G43" s="2" t="inlineStr">
        <is>
          <t>Company SEC filing</t>
        </is>
      </c>
      <c r="H43" s="2" t="inlineStr">
        <is>
          <t>Plains All American, Form 10-K for 2025</t>
        </is>
      </c>
      <c r="I43" s="10" t="inlineStr">
        <is>
          <t>https://www.sec.gov/Archives/edgar/data/1070423/000107042326000014/paa-20251231.htm</t>
        </is>
      </c>
      <c r="J43" s="2" t="inlineStr">
        <is>
          <t>The Diamond Pipeline has a total capacity of approximately 200,000 barrels per day.</t>
        </is>
      </c>
      <c r="K43" s="2" t="inlineStr"/>
      <c r="L43" s="2" t="inlineStr">
        <is>
          <t>Yes</t>
        </is>
      </c>
      <c r="M43" s="2" t="n">
        <v>1</v>
      </c>
    </row>
    <row r="44">
      <c r="A44" s="6" t="inlineStr">
        <is>
          <t>Crude oil</t>
        </is>
      </c>
      <c r="B44" s="6" t="inlineStr">
        <is>
          <t>Bayou Bridge Pipeline</t>
        </is>
      </c>
      <c r="C44" s="6" t="inlineStr">
        <is>
          <t>Nederland, TX to St. James, LA</t>
        </is>
      </c>
      <c r="D44" s="7" t="n">
        <v>480000</v>
      </c>
      <c r="E44" s="6" t="inlineStr">
        <is>
          <t>Capacity</t>
        </is>
      </c>
      <c r="F44" s="6" t="inlineStr">
        <is>
          <t>2025</t>
        </is>
      </c>
      <c r="G44" s="6" t="inlineStr">
        <is>
          <t>Company SEC filing</t>
        </is>
      </c>
      <c r="H44" s="6" t="inlineStr">
        <is>
          <t>Phillips 66, Form 10-K for 2025, pipeline table</t>
        </is>
      </c>
      <c r="I44" s="8" t="inlineStr">
        <is>
          <t>https://www.sec.gov/Archives/edgar/data/1534701/000153470126000006/psx-20251231.htm</t>
        </is>
      </c>
      <c r="J44" s="6" t="inlineStr">
        <is>
          <t>Bayou Bridge Texas/Louisiana 40 213 480</t>
        </is>
      </c>
      <c r="K44" s="6" t="inlineStr"/>
      <c r="L44" s="6" t="inlineStr">
        <is>
          <t>Yes</t>
        </is>
      </c>
      <c r="M44" s="6" t="n">
        <v>2</v>
      </c>
    </row>
    <row r="45">
      <c r="A45" s="2" t="inlineStr">
        <is>
          <t>Crude oil</t>
        </is>
      </c>
      <c r="B45" s="2" t="inlineStr">
        <is>
          <t>Capline</t>
        </is>
      </c>
      <c r="C45" s="2" t="inlineStr">
        <is>
          <t>Patoka, IL to St. James, LA (flow reversed southbound in 2021)</t>
        </is>
      </c>
      <c r="D45" s="9" t="n">
        <v>300000</v>
      </c>
      <c r="E45" s="2" t="inlineStr">
        <is>
          <t>Initial capacity after reversal</t>
        </is>
      </c>
      <c r="F45" s="2" t="inlineStr">
        <is>
          <t>2021</t>
        </is>
      </c>
      <c r="G45" s="2" t="inlineStr">
        <is>
          <t>Official (EIA)</t>
        </is>
      </c>
      <c r="H45" s="2" t="inlineStr">
        <is>
          <t>EIA, Liquids pipeline projects database (ID 188)</t>
        </is>
      </c>
      <c r="I45" s="10" t="inlineStr">
        <is>
          <t>https://www.eia.gov/petroleum/xls/EIA_LiqPipProject.xlsx</t>
        </is>
      </c>
      <c r="J45" s="2" t="inlineStr">
        <is>
          <t>Reversal of 1,300,000 b/d pipeline so that it flows south. Initial capacity in 2021 Q4 is 300,000 b/d.</t>
        </is>
      </c>
      <c r="K45" s="2" t="inlineStr">
        <is>
          <t>Operated by Marathon since the reversal</t>
        </is>
      </c>
      <c r="L45" s="2" t="inlineStr">
        <is>
          <t>Yes</t>
        </is>
      </c>
      <c r="M45" s="2" t="n">
        <v>1</v>
      </c>
    </row>
    <row r="46">
      <c r="A46" s="6" t="inlineStr">
        <is>
          <t>Crude oil</t>
        </is>
      </c>
      <c r="B46" s="6" t="inlineStr">
        <is>
          <t>Double H Pipeline</t>
        </is>
      </c>
      <c r="C46" s="6" t="inlineStr">
        <is>
          <t>Baker, MT / Bakken to Guernsey, WY</t>
        </is>
      </c>
      <c r="D46" s="7" t="n">
        <v>84000</v>
      </c>
      <c r="E46" s="6" t="inlineStr">
        <is>
          <t>Capacity</t>
        </is>
      </c>
      <c r="F46" s="6" t="inlineStr">
        <is>
          <t>2015</t>
        </is>
      </c>
      <c r="G46" s="6" t="inlineStr">
        <is>
          <t>Official (EIA)</t>
        </is>
      </c>
      <c r="H46" s="6" t="inlineStr">
        <is>
          <t>EIA, Liquids pipeline projects database (ID 72)</t>
        </is>
      </c>
      <c r="I46" s="8" t="inlineStr">
        <is>
          <t>https://www.eia.gov/petroleum/xls/EIA_LiqPipProject.xlsx</t>
        </is>
      </c>
      <c r="J46" s="6" t="inlineStr">
        <is>
          <t>Database field Added Capacity: 84,000 b/d (Double H Pipeline, completed 2015)</t>
        </is>
      </c>
      <c r="K46" s="6" t="inlineStr"/>
      <c r="L46" s="6" t="inlineStr">
        <is>
          <t>Yes</t>
        </is>
      </c>
      <c r="M46" s="6" t="n">
        <v>2</v>
      </c>
    </row>
    <row r="47">
      <c r="A47" s="2" t="inlineStr">
        <is>
          <t>Crude oil</t>
        </is>
      </c>
      <c r="B47" s="2" t="inlineStr">
        <is>
          <t>Glacier Pipeline</t>
        </is>
      </c>
      <c r="C47" s="2" t="inlineStr">
        <is>
          <t>Cut Bank, MT to Billings, MT</t>
        </is>
      </c>
      <c r="D47" s="9" t="n">
        <v>124000</v>
      </c>
      <c r="E47" s="2" t="inlineStr">
        <is>
          <t>Capacity</t>
        </is>
      </c>
      <c r="F47" s="2" t="inlineStr">
        <is>
          <t>2025</t>
        </is>
      </c>
      <c r="G47" s="2" t="inlineStr">
        <is>
          <t>Company SEC filing</t>
        </is>
      </c>
      <c r="H47" s="2" t="inlineStr">
        <is>
          <t>Phillips 66, Form 10-K for 2025, pipeline table</t>
        </is>
      </c>
      <c r="I47" s="10" t="inlineStr">
        <is>
          <t>https://www.sec.gov/Archives/edgar/data/1534701/000153470126000006/psx-20251231.htm</t>
        </is>
      </c>
      <c r="J47" s="2" t="inlineStr">
        <is>
          <t>Glacier Montana 79 800 124</t>
        </is>
      </c>
      <c r="K47" s="2" t="inlineStr"/>
      <c r="L47" s="2" t="inlineStr">
        <is>
          <t>Yes</t>
        </is>
      </c>
      <c r="M47" s="2" t="n">
        <v>1</v>
      </c>
    </row>
    <row r="48">
      <c r="A48" s="6" t="inlineStr">
        <is>
          <t>Crude oil</t>
        </is>
      </c>
      <c r="B48" s="6" t="inlineStr">
        <is>
          <t>Mid-Valley Pipeline</t>
        </is>
      </c>
      <c r="C48" s="6" t="inlineStr">
        <is>
          <t>Longview, TX to Samaria, MI</t>
        </is>
      </c>
      <c r="D48" s="7" t="n">
        <v>240000</v>
      </c>
      <c r="E48" s="6" t="inlineStr">
        <is>
          <t>Capacity (press-reported)</t>
        </is>
      </c>
      <c r="F48" s="6" t="inlineStr"/>
      <c r="G48" s="6" t="inlineStr">
        <is>
          <t>Press</t>
        </is>
      </c>
      <c r="H48" s="6" t="inlineStr">
        <is>
          <t>Global Energy Monitor</t>
        </is>
      </c>
      <c r="I48" s="8" t="inlineStr">
        <is>
          <t>https://www.gem.wiki/Mid-Valley_Oil_Pipeline</t>
        </is>
      </c>
      <c r="J48" s="6" t="inlineStr"/>
      <c r="K48" s="6" t="inlineStr">
        <is>
          <t>Not confirmed from an operator or official document; drawn at the reported figure</t>
        </is>
      </c>
      <c r="L48" s="6" t="inlineStr">
        <is>
          <t>Yes</t>
        </is>
      </c>
      <c r="M48" s="6" t="n">
        <v>3</v>
      </c>
    </row>
  </sheetData>
  <autoFilter ref="A1:M48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2026-09-28T20:28:02Z</dcterms:created>
  <dcterms:modified xsi:type="dcterms:W3CDTF">2026-09-28T20:28:02Z</dcterms:modified>
</cp:coreProperties>
</file>