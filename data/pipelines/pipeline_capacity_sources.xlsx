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Pipelines" sheetId="2" state="visible" r:id="rId2"/>
  </sheets>
  <definedNames>
    <definedName name="_xlnm._FilterDatabase" localSheetId="1" hidden="1">'Pipelines'!$A$1:$M$96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color rgb="001155CC"/>
      <sz val="10"/>
      <u val="single"/>
    </font>
    <font>
      <name val="Arial"/>
      <b val="1"/>
      <sz val="14"/>
    </font>
    <font>
      <name val="Arial"/>
      <b val="1"/>
      <sz val="10"/>
    </font>
  </fonts>
  <fills count="4">
    <fill>
      <patternFill/>
    </fill>
    <fill>
      <patternFill patternType="gray125"/>
    </fill>
    <fill>
      <patternFill patternType="solid">
        <fgColor rgb="001B3A5C"/>
      </patternFill>
    </fill>
    <fill>
      <patternFill patternType="solid">
        <fgColor rgb="00F7F0F1"/>
      </patternFill>
    </fill>
  </fills>
  <borders count="1">
    <border>
      <left/>
      <right/>
      <top/>
      <bottom/>
      <diagonal/>
    </border>
  </borders>
  <cellStyleXfs count="1">
    <xf numFmtId="0" fontId="0" fillId="0" borderId="0"/>
  </cellStyleXfs>
  <cellXfs count="11">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3" fontId="2"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3" fontId="2" fillId="3" borderId="0" applyAlignment="1" pivotButton="0" quotePrefix="0" xfId="0">
      <alignment vertical="top" wrapText="1"/>
    </xf>
    <xf numFmtId="0" fontId="3" fillId="3" borderId="0" applyAlignment="1" pivotButton="0" quotePrefix="0" xfId="0">
      <alignment vertical="top" wrapText="1"/>
    </xf>
    <xf numFmtId="3"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ia.gov/petroleum/weekly/archive/2022/220615/includes/analysis_print.php" TargetMode="External" Id="rId1" /><Relationship Type="http://schemas.openxmlformats.org/officeDocument/2006/relationships/hyperlink" Target="https://www.eia.gov/analysis/transportationfuels/padd1n3/pdf/transportation_fuels_padd1n3.pdf" TargetMode="External" Id="rId2" /><Relationship Type="http://schemas.openxmlformats.org/officeDocument/2006/relationships/hyperlink" Target="https://www.eia.gov/petroleum/weekly/archive/2022/220615/includes/analysis_print.php" TargetMode="External" Id="rId3" /><Relationship Type="http://schemas.openxmlformats.org/officeDocument/2006/relationships/hyperlink" Target="https://www.sec.gov/Archives/edgar/data/1534701/000153470126000006/psx-20251231.htm" TargetMode="External" Id="rId4" /><Relationship Type="http://schemas.openxmlformats.org/officeDocument/2006/relationships/hyperlink" Target="https://www.expl.com/2205-2/" TargetMode="External" Id="rId5" /><Relationship Type="http://schemas.openxmlformats.org/officeDocument/2006/relationships/hyperlink" Target="https://www.sec.gov/Archives/edgar/data/1534701/000153470126000006/psx-20251231.htm" TargetMode="External" Id="rId6" /><Relationship Type="http://schemas.openxmlformats.org/officeDocument/2006/relationships/hyperlink" Target="https://www.sec.gov/Archives/edgar/data/1534701/000153470126000006/psx-20251231.htm" TargetMode="External" Id="rId7" /><Relationship Type="http://schemas.openxmlformats.org/officeDocument/2006/relationships/hyperlink" Target="https://www.sec.gov/Archives/edgar/data/1534701/000153470126000006/psx-20251231.htm" TargetMode="External" Id="rId8" /><Relationship Type="http://schemas.openxmlformats.org/officeDocument/2006/relationships/hyperlink" Target="https://www.sec.gov/Archives/edgar/data/1534701/000153470126000006/psx-20251231.htm" TargetMode="External" Id="rId9" /><Relationship Type="http://schemas.openxmlformats.org/officeDocument/2006/relationships/hyperlink" Target="https://www.sec.gov/Archives/edgar/data/1283140/000128314021000012/hfc-20201231.htm" TargetMode="External" Id="rId10" /><Relationship Type="http://schemas.openxmlformats.org/officeDocument/2006/relationships/hyperlink" Target="https://www.sec.gov/Archives/edgar/data/1507615/000150761513000038/tllpex991pressrelease.htm" TargetMode="External" Id="rId11" /><Relationship Type="http://schemas.openxmlformats.org/officeDocument/2006/relationships/hyperlink" Target="https://wolverinepipeline.com/who-is-wolverine-pipe-line-company/" TargetMode="External" Id="rId12" /><Relationship Type="http://schemas.openxmlformats.org/officeDocument/2006/relationships/hyperlink" Target="https://www.goskagit.com/news/local_news/work-planned-for-olympic-pipeline/article_e21abba8-d69e-5735-bace-223d07386733.html" TargetMode="External" Id="rId13" /><Relationship Type="http://schemas.openxmlformats.org/officeDocument/2006/relationships/hyperlink" Target="https://www.eia.gov/analysis/transportationfuels/padd1n3/pdf/transportation_fuels_padd1n3.pdf" TargetMode="External" Id="rId14" /><Relationship Type="http://schemas.openxmlformats.org/officeDocument/2006/relationships/hyperlink" Target="https://www.eia.gov/analysis/transportationfuels/padd1n3/pdf/transportation_fuels_padd1n3.pdf" TargetMode="External" Id="rId15" /><Relationship Type="http://schemas.openxmlformats.org/officeDocument/2006/relationships/hyperlink" Target="https://www.eia.gov/analysis/transportationfuels/padd1n3/pdf/transportation_fuels_padd1n3.pdf" TargetMode="External" Id="rId16" /><Relationship Type="http://schemas.openxmlformats.org/officeDocument/2006/relationships/hyperlink" Target="https://www.sec.gov/Archives/edgar/data/1506307/000150630713000015/kmi-20121231x10k.htm" TargetMode="External" Id="rId17" /><Relationship Type="http://schemas.openxmlformats.org/officeDocument/2006/relationships/hyperlink" Target="https://www.eia.gov/analysis/transportationfuels/padd1n3/pdf/transportation_fuels_padd1n3.pdf" TargetMode="External" Id="rId18" /><Relationship Type="http://schemas.openxmlformats.org/officeDocument/2006/relationships/hyperlink" Target="https://www.eia.gov/analysis/transportationfuels/padd1n3/pdf/transportation_fuels_padd1n3.pdf" TargetMode="External" Id="rId19" /><Relationship Type="http://schemas.openxmlformats.org/officeDocument/2006/relationships/hyperlink" Target="https://www.eia.gov/analysis/transportationfuels/padd5/pdf/transportation_fuels.pdf" TargetMode="External" Id="rId20" /><Relationship Type="http://schemas.openxmlformats.org/officeDocument/2006/relationships/hyperlink" Target="https://kindermorgan.com/Operations/Products/Index" TargetMode="External" Id="rId21" /><Relationship Type="http://schemas.openxmlformats.org/officeDocument/2006/relationships/hyperlink" Target="https://www.sec.gov/Archives/edgar/data/1126975/000112697523000064/mmp-20221231.htm" TargetMode="External" Id="rId22" /><Relationship Type="http://schemas.openxmlformats.org/officeDocument/2006/relationships/hyperlink" Target="https://www.sec.gov/Archives/edgar/data/895728/000119312526049810/enb-20251231.htm" TargetMode="External" Id="rId23" /><Relationship Type="http://schemas.openxmlformats.org/officeDocument/2006/relationships/hyperlink" Target="https://www.eia.gov/petroleum/xls/EIA_LiqPipProject.xlsx" TargetMode="External" Id="rId24" /><Relationship Type="http://schemas.openxmlformats.org/officeDocument/2006/relationships/hyperlink" Target="https://www.enbridge.com/projects-and-infrastructure/public-awareness/line-5-answering-your-questions/what-is-line-5" TargetMode="External" Id="rId25" /><Relationship Type="http://schemas.openxmlformats.org/officeDocument/2006/relationships/hyperlink" Target="https://www.eia.gov/petroleum/xls/EIA_LiqPipProject.xlsx" TargetMode="External" Id="rId26" /><Relationship Type="http://schemas.openxmlformats.org/officeDocument/2006/relationships/hyperlink" Target="https://www.eia.gov/petroleum/xls/EIA_LiqPipProject.xlsx" TargetMode="External" Id="rId27" /><Relationship Type="http://schemas.openxmlformats.org/officeDocument/2006/relationships/hyperlink" Target="https://www.sec.gov/Archives/edgar/data/895728/000119312526049810/enb-20251231.htm" TargetMode="External" Id="rId28" /><Relationship Type="http://schemas.openxmlformats.org/officeDocument/2006/relationships/hyperlink" Target="https://www.eia.gov/petroleum/xls/EIA_LiqPipProject.xlsx" TargetMode="External" Id="rId29" /><Relationship Type="http://schemas.openxmlformats.org/officeDocument/2006/relationships/hyperlink" Target="https://www.sec.gov/Archives/edgar/data/895728/000119312526049810/enb-20251231.htm" TargetMode="External" Id="rId30" /><Relationship Type="http://schemas.openxmlformats.org/officeDocument/2006/relationships/hyperlink" Target="https://www.sec.gov/Archives/edgar/data/895728/000119312526049810/enb-20251231.htm" TargetMode="External" Id="rId31" /><Relationship Type="http://schemas.openxmlformats.org/officeDocument/2006/relationships/hyperlink" Target="https://www.eia.gov/petroleum/xls/EIA_LiqPipProject.xlsx" TargetMode="External" Id="rId32" /><Relationship Type="http://schemas.openxmlformats.org/officeDocument/2006/relationships/hyperlink" Target="https://www.eia.gov/petroleum/xls/EIA_LiqPipProject.xlsx" TargetMode="External" Id="rId33" /><Relationship Type="http://schemas.openxmlformats.org/officeDocument/2006/relationships/hyperlink" Target="https://www.sec.gov/Archives/edgar/data/895728/000119312526049810/enb-20251231.htm" TargetMode="External" Id="rId34" /><Relationship Type="http://schemas.openxmlformats.org/officeDocument/2006/relationships/hyperlink" Target="https://www.sec.gov/Archives/edgar/data/895728/000119312526049810/enb-20251231.htm" TargetMode="External" Id="rId35" /><Relationship Type="http://schemas.openxmlformats.org/officeDocument/2006/relationships/hyperlink" Target="https://www.eia.gov/petroleum/xls/EIA_LiqPipProject.xlsx" TargetMode="External" Id="rId36" /><Relationship Type="http://schemas.openxmlformats.org/officeDocument/2006/relationships/hyperlink" Target="https://www.sec.gov/Archives/edgar/data/1070423/000107042326000014/paa-20251231.htm" TargetMode="External" Id="rId37" /><Relationship Type="http://schemas.openxmlformats.org/officeDocument/2006/relationships/hyperlink" Target="https://www.sec.gov/Archives/edgar/data/1061219/000106121926000006/epd-20251231.htm" TargetMode="External" Id="rId38" /><Relationship Type="http://schemas.openxmlformats.org/officeDocument/2006/relationships/hyperlink" Target="https://www.sec.gov/Archives/edgar/data/1534701/000153470126000006/psx-20251231.htm" TargetMode="External" Id="rId39" /><Relationship Type="http://schemas.openxmlformats.org/officeDocument/2006/relationships/hyperlink" Target="https://www.sec.gov/Archives/edgar/data/1070423/000107042326000014/paa-20251231.htm" TargetMode="External" Id="rId40" /><Relationship Type="http://schemas.openxmlformats.org/officeDocument/2006/relationships/hyperlink" Target="https://www.eia.gov/petroleum/xls/EIA_LiqPipProject.xlsx" TargetMode="External" Id="rId41" /><Relationship Type="http://schemas.openxmlformats.org/officeDocument/2006/relationships/hyperlink" Target="https://www.sec.gov/Archives/edgar/data/1070423/000107042326000014/paa-20251231.htm" TargetMode="External" Id="rId42" /><Relationship Type="http://schemas.openxmlformats.org/officeDocument/2006/relationships/hyperlink" Target="https://www.eia.gov/petroleum/xls/EIA_LiqPipProject.xlsx" TargetMode="External" Id="rId43" /><Relationship Type="http://schemas.openxmlformats.org/officeDocument/2006/relationships/hyperlink" Target="https://www.eia.gov/petroleum/xls/EIA_LiqPipProject.xlsx" TargetMode="External" Id="rId44" /><Relationship Type="http://schemas.openxmlformats.org/officeDocument/2006/relationships/hyperlink" Target="https://www.sec.gov/Archives/edgar/data/1061219/000106121926000006/epd-20251231.htm" TargetMode="External" Id="rId45" /><Relationship Type="http://schemas.openxmlformats.org/officeDocument/2006/relationships/hyperlink" Target="https://www.sec.gov/Archives/edgar/data/1070423/000107042326000014/paa-20251231.htm" TargetMode="External" Id="rId46" /><Relationship Type="http://schemas.openxmlformats.org/officeDocument/2006/relationships/hyperlink" Target="https://www.sec.gov/Archives/edgar/data/1534701/000153470126000006/psx-20251231.htm" TargetMode="External" Id="rId47" /><Relationship Type="http://schemas.openxmlformats.org/officeDocument/2006/relationships/hyperlink" Target="https://www.eia.gov/petroleum/xls/EIA_LiqPipProject.xlsx" TargetMode="External" Id="rId48" /><Relationship Type="http://schemas.openxmlformats.org/officeDocument/2006/relationships/hyperlink" Target="https://www.eia.gov/petroleum/xls/EIA_LiqPipProject.xlsx" TargetMode="External" Id="rId49" /><Relationship Type="http://schemas.openxmlformats.org/officeDocument/2006/relationships/hyperlink" Target="https://www.sec.gov/Archives/edgar/data/1534701/000153470126000006/psx-20251231.htm" TargetMode="External" Id="rId50" /><Relationship Type="http://schemas.openxmlformats.org/officeDocument/2006/relationships/hyperlink" Target="https://www.gem.wiki/Mid-Valley_Oil_Pipeline" TargetMode="External" Id="rId51" /><Relationship Type="http://schemas.openxmlformats.org/officeDocument/2006/relationships/hyperlink" Target="https://www.eia.gov/analysis/transportationfuels/padd1n3/pdf/transportation_fuels_padd1n3.pdf" TargetMode="External" Id="rId52" /><Relationship Type="http://schemas.openxmlformats.org/officeDocument/2006/relationships/hyperlink" Target="https://www.eia.gov/analysis/transportationfuels/padd1n3/pdf/transportation_fuels_padd1n3.pdf" TargetMode="External" Id="rId53" /><Relationship Type="http://schemas.openxmlformats.org/officeDocument/2006/relationships/hyperlink" Target="https://www.eia.gov/analysis/transportationfuels/padd1n3/pdf/transportation_fuels_padd1n3.pdf" TargetMode="External" Id="rId54" /><Relationship Type="http://schemas.openxmlformats.org/officeDocument/2006/relationships/hyperlink" Target="https://www.eia.gov/analysis/transportationfuels/padd1n3/pdf/transportation_fuels_padd1n3.pdf" TargetMode="External" Id="rId55" /><Relationship Type="http://schemas.openxmlformats.org/officeDocument/2006/relationships/hyperlink" Target="https://www.eia.gov/analysis/transportationfuels/padd1n3/pdf/transportation_fuels_padd1n3.pdf" TargetMode="External" Id="rId56" /><Relationship Type="http://schemas.openxmlformats.org/officeDocument/2006/relationships/hyperlink" Target="https://www.eia.gov/analysis/transportationfuels/padd2n4/pdf/transportation_fuels.pdf" TargetMode="External" Id="rId57" /><Relationship Type="http://schemas.openxmlformats.org/officeDocument/2006/relationships/hyperlink" Target="https://www.eia.gov/analysis/transportationfuels/padd1n3/pdf/transportation_fuels_padd1n3.pdf" TargetMode="External" Id="rId58" /><Relationship Type="http://schemas.openxmlformats.org/officeDocument/2006/relationships/hyperlink" Target="https://www.eia.gov/analysis/transportationfuels/padd1n3/pdf/transportation_fuels_padd1n3.pdf" TargetMode="External" Id="rId59" /><Relationship Type="http://schemas.openxmlformats.org/officeDocument/2006/relationships/hyperlink" Target="https://www.eia.gov/analysis/transportationfuels/padd1n3/pdf/transportation_fuels_padd1n3.pdf" TargetMode="External" Id="rId60" /><Relationship Type="http://schemas.openxmlformats.org/officeDocument/2006/relationships/hyperlink" Target="https://www.eia.gov/analysis/transportationfuels/padd1n3/pdf/transportation_fuels_padd1n3.pdf" TargetMode="External" Id="rId61" /><Relationship Type="http://schemas.openxmlformats.org/officeDocument/2006/relationships/hyperlink" Target="https://www.eia.gov/analysis/transportationfuels/padd1n3/pdf/transportation_fuels_padd1n3.pdf" TargetMode="External" Id="rId62" /><Relationship Type="http://schemas.openxmlformats.org/officeDocument/2006/relationships/hyperlink" Target="https://www.eia.gov/analysis/transportationfuels/padd2n4/pdf/transportation_fuels.pdf" TargetMode="External" Id="rId63" /><Relationship Type="http://schemas.openxmlformats.org/officeDocument/2006/relationships/hyperlink" Target="https://www.eia.gov/analysis/transportationfuels/padd1n3/pdf/transportation_fuels_padd1n3.pdf" TargetMode="External" Id="rId64" /><Relationship Type="http://schemas.openxmlformats.org/officeDocument/2006/relationships/hyperlink" Target="https://www.eia.gov/analysis/transportationfuels/padd1n3/pdf/transportation_fuels_padd1n3.pdf" TargetMode="External" Id="rId65" /><Relationship Type="http://schemas.openxmlformats.org/officeDocument/2006/relationships/hyperlink" Target="https://www.eia.gov/analysis/transportationfuels/padd1n3/pdf/transportation_fuels_padd1n3.pdf" TargetMode="External" Id="rId66" /><Relationship Type="http://schemas.openxmlformats.org/officeDocument/2006/relationships/hyperlink" Target="https://www.eia.gov/analysis/transportationfuels/padd1n3/pdf/transportation_fuels_padd1n3.pdf" TargetMode="External" Id="rId67" /><Relationship Type="http://schemas.openxmlformats.org/officeDocument/2006/relationships/hyperlink" Target="https://www.eia.gov/analysis/transportationfuels/padd1n3/pdf/transportation_fuels_padd1n3.pdf" TargetMode="External" Id="rId68" /><Relationship Type="http://schemas.openxmlformats.org/officeDocument/2006/relationships/hyperlink" Target="https://www.eia.gov/analysis/transportationfuels/padd2n4/pdf/transportation_fuels.pdf" TargetMode="External" Id="rId69" /><Relationship Type="http://schemas.openxmlformats.org/officeDocument/2006/relationships/hyperlink" Target="https://www.eia.gov/analysis/transportationfuels/padd2n4/pdf/transportation_fuels.pdf" TargetMode="External" Id="rId70" /><Relationship Type="http://schemas.openxmlformats.org/officeDocument/2006/relationships/hyperlink" Target="https://www.eia.gov/analysis/transportationfuels/padd2n4/pdf/transportation_fuels.pdf" TargetMode="External" Id="rId71" /><Relationship Type="http://schemas.openxmlformats.org/officeDocument/2006/relationships/hyperlink" Target="https://www.eia.gov/analysis/transportationfuels/padd2n4/pdf/transportation_fuels.pdf" TargetMode="External" Id="rId72" /><Relationship Type="http://schemas.openxmlformats.org/officeDocument/2006/relationships/hyperlink" Target="https://www.eia.gov/analysis/transportationfuels/padd2n4/pdf/transportation_fuels.pdf" TargetMode="External" Id="rId73" /><Relationship Type="http://schemas.openxmlformats.org/officeDocument/2006/relationships/hyperlink" Target="https://www.eia.gov/analysis/transportationfuels/padd2n4/pdf/transportation_fuels.pdf" TargetMode="External" Id="rId74" /><Relationship Type="http://schemas.openxmlformats.org/officeDocument/2006/relationships/hyperlink" Target="https://www.eia.gov/analysis/transportationfuels/padd2n4/pdf/transportation_fuels.pdf" TargetMode="External" Id="rId75" /><Relationship Type="http://schemas.openxmlformats.org/officeDocument/2006/relationships/hyperlink" Target="https://www.eia.gov/analysis/transportationfuels/padd2n4/pdf/transportation_fuels.pdf" TargetMode="External" Id="rId76" /><Relationship Type="http://schemas.openxmlformats.org/officeDocument/2006/relationships/hyperlink" Target="https://www.eia.gov/analysis/transportationfuels/padd2n4/pdf/transportation_fuels.pdf" TargetMode="External" Id="rId77" /><Relationship Type="http://schemas.openxmlformats.org/officeDocument/2006/relationships/hyperlink" Target="https://www.eia.gov/analysis/transportationfuels/padd2n4/pdf/transportation_fuels.pdf" TargetMode="External" Id="rId78" /><Relationship Type="http://schemas.openxmlformats.org/officeDocument/2006/relationships/hyperlink" Target="https://www.eia.gov/analysis/transportationfuels/padd2n4/pdf/transportation_fuels.pdf" TargetMode="External" Id="rId79" /><Relationship Type="http://schemas.openxmlformats.org/officeDocument/2006/relationships/hyperlink" Target="https://www.eia.gov/analysis/transportationfuels/padd1n3/pdf/transportation_fuels_padd1n3.pdf" TargetMode="External" Id="rId80" /><Relationship Type="http://schemas.openxmlformats.org/officeDocument/2006/relationships/hyperlink" Target="https://www.eia.gov/analysis/transportationfuels/padd1n3/pdf/transportation_fuels_padd1n3.pdf" TargetMode="External" Id="rId81" /><Relationship Type="http://schemas.openxmlformats.org/officeDocument/2006/relationships/hyperlink" Target="https://www.eia.gov/analysis/transportationfuels/padd1n3/pdf/transportation_fuels_padd1n3.pdf" TargetMode="External" Id="rId82" /><Relationship Type="http://schemas.openxmlformats.org/officeDocument/2006/relationships/hyperlink" Target="https://www.eia.gov/analysis/transportationfuels/padd2n4/pdf/transportation_fuels.pdf" TargetMode="External" Id="rId83" /><Relationship Type="http://schemas.openxmlformats.org/officeDocument/2006/relationships/hyperlink" Target="https://www.eia.gov/analysis/transportationfuels/padd1n3/pdf/transportation_fuels_padd1n3.pdf" TargetMode="External" Id="rId84" /><Relationship Type="http://schemas.openxmlformats.org/officeDocument/2006/relationships/hyperlink" Target="https://www.eia.gov/analysis/transportationfuels/padd2n4/pdf/transportation_fuels.pdf" TargetMode="External" Id="rId85" /><Relationship Type="http://schemas.openxmlformats.org/officeDocument/2006/relationships/hyperlink" Target="https://www.eia.gov/petroleum/xls/EIA_LiqPipProject.xlsx" TargetMode="External" Id="rId86" /><Relationship Type="http://schemas.openxmlformats.org/officeDocument/2006/relationships/hyperlink" Target="https://www.eia.gov/analysis/transportationfuels/padd1n3/pdf/transportation_fuels_padd1n3.pdf" TargetMode="External" Id="rId87" /><Relationship Type="http://schemas.openxmlformats.org/officeDocument/2006/relationships/hyperlink" Target="https://www.eia.gov/analysis/transportationfuels/padd2n4/pdf/transportation_fuels.pdf" TargetMode="External" Id="rId88" /><Relationship Type="http://schemas.openxmlformats.org/officeDocument/2006/relationships/hyperlink" Target="https://www.eia.gov/analysis/transportationfuels/padd2n4/pdf/transportation_fuels.pdf" TargetMode="External" Id="rId89" /><Relationship Type="http://schemas.openxmlformats.org/officeDocument/2006/relationships/hyperlink" Target="https://www.eia.gov/analysis/transportationfuels/padd2n4/pdf/transportation_fuels.pdf" TargetMode="External" Id="rId90" /><Relationship Type="http://schemas.openxmlformats.org/officeDocument/2006/relationships/hyperlink" Target="https://www.eia.gov/analysis/transportationfuels/padd2n4/pdf/transportation_fuels.pdf" TargetMode="External" Id="rId91" /><Relationship Type="http://schemas.openxmlformats.org/officeDocument/2006/relationships/hyperlink" Target="https://www.eia.gov/analysis/transportationfuels/padd2n4/pdf/transportation_fuels.pdf" TargetMode="External" Id="rId92" /><Relationship Type="http://schemas.openxmlformats.org/officeDocument/2006/relationships/hyperlink" Target="https://www.eia.gov/analysis/transportationfuels/padd2n4/pdf/transportation_fuels.pdf" TargetMode="External" Id="rId93" /><Relationship Type="http://schemas.openxmlformats.org/officeDocument/2006/relationships/hyperlink" Target="https://www.eia.gov/analysis/transportationfuels/padd2n4/pdf/transportation_fuels.pdf" TargetMode="External" Id="rId94" /><Relationship Type="http://schemas.openxmlformats.org/officeDocument/2006/relationships/hyperlink" Target="https://www.eia.gov/analysis/transportationfuels/padd2n4/pdf/transportation_fuels.pdf" TargetMode="External" Id="rId95" /></Relationships>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00" customWidth="1" min="1" max="1"/>
    <col width="18" customWidth="1" min="2" max="2"/>
  </cols>
  <sheetData>
    <row r="1">
      <c r="A1" s="1" t="inlineStr">
        <is>
          <t>US fuel pipelines: capacity and sources</t>
        </is>
      </c>
    </row>
    <row r="2">
      <c r="A2" s="2" t="inlineStr"/>
    </row>
    <row r="3">
      <c r="A3" s="3" t="inlineStr">
        <is>
          <t>What this is</t>
        </is>
      </c>
    </row>
    <row r="4">
      <c r="A4" s="2" t="inlineStr">
        <is>
          <t>The main US refined-product and crude oil trunk pipelines on the map, with the capacity used for each line's width and where that number comes from.</t>
        </is>
      </c>
    </row>
    <row r="5">
      <c r="A5" s="2" t="inlineStr"/>
    </row>
    <row r="6">
      <c r="A6" s="3" t="inlineStr">
        <is>
          <t>How to read it</t>
        </is>
      </c>
    </row>
    <row r="7">
      <c r="A7" s="2" t="inlineStr">
        <is>
          <t>Capacity (b/d): barrels per day. For refined-product lines it covers every product the line carries (gasoline, diesel, jet fuel), not diesel alone.</t>
        </is>
      </c>
    </row>
    <row r="8">
      <c r="A8" s="2" t="inlineStr">
        <is>
          <t>Measure: 'Capacity' unless stated. Where no capacity is published, a line is drawn at its throughput (actual volume, with the year); one figure is derived from two published figures, with the arithmetic in its notes.</t>
        </is>
      </c>
    </row>
    <row r="9">
      <c r="A9" s="2" t="inlineStr">
        <is>
          <t>Source type: Official (EIA) or Official (EIA study), Company SEC filing (10-K), Company website, Derived, or Press. EIA studies are its regional Transportation Fuels Markets reports (West Coast 2015, East and Gulf Coasts 2016, Midwest and Rocky Mountains 2017), which list capacity by pipeline segment. Press figures could not be confirmed from an operator or official document; they are the best available and are drawn at the reported value.</t>
        </is>
      </c>
    </row>
    <row r="10">
      <c r="A10" s="2" t="inlineStr">
        <is>
          <t>Width on map: 'No (thin)' lines have no capacity figure from any source and appear at a fixed thin width.</t>
        </is>
      </c>
    </row>
    <row r="11">
      <c r="A11" s="2" t="inlineStr"/>
    </row>
    <row r="12">
      <c r="A12" s="3" t="inlineStr">
        <is>
          <t>Summary</t>
        </is>
      </c>
    </row>
    <row r="13">
      <c r="A13" s="2" t="inlineStr">
        <is>
          <t>Lines listed</t>
        </is>
      </c>
      <c r="B13" s="4">
        <f>COUNTA(Pipelines!B2:B96)</f>
        <v/>
      </c>
    </row>
    <row r="14">
      <c r="A14" s="2" t="inlineStr">
        <is>
          <t>Drawn with width</t>
        </is>
      </c>
      <c r="B14" s="4">
        <f>COUNTIF(Pipelines!L2:L96,"Yes")</f>
        <v/>
      </c>
    </row>
    <row r="15">
      <c r="A15" s="2" t="inlineStr">
        <is>
          <t>Refined-product capacity drawn (b/d)</t>
        </is>
      </c>
      <c r="B15" s="4">
        <f>SUMIFS(Pipelines!D2:D96,Pipelines!A2:A96,"Refined products",Pipelines!L2:L96,"Yes")</f>
        <v/>
      </c>
    </row>
    <row r="16">
      <c r="A16" s="2" t="inlineStr">
        <is>
          <t>Crude capacity drawn (b/d)</t>
        </is>
      </c>
      <c r="B16" s="4">
        <f>SUMIFS(Pipelines!D2:D96,Pipelines!A2:A96,"Crude oil",Pipelines!L2:L96,"Yes")</f>
        <v/>
      </c>
    </row>
    <row r="17">
      <c r="A17" s="2" t="inlineStr"/>
    </row>
    <row r="18">
      <c r="A18" s="2" t="inlineStr">
        <is>
          <t>Routes: EIA refined-product and crude oil trunk pipeline layers, as republished on the federal HIFLD open-data service (scripts/fetch_pipelines.py).</t>
        </is>
      </c>
    </row>
    <row r="19">
      <c r="A19" s="2" t="inlineStr">
        <is>
          <t>Built by scripts/process_pipeline_map.py from data/pipelines/pipeline_capacity.csv.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40" customWidth="1" min="3" max="3"/>
    <col width="15" customWidth="1" min="4" max="4"/>
    <col width="24" customWidth="1" min="5" max="5"/>
    <col width="8" customWidth="1" min="6" max="6"/>
    <col width="22" customWidth="1" min="7" max="7"/>
    <col width="44" customWidth="1" min="8" max="8"/>
    <col width="50" customWidth="1" min="9" max="9"/>
    <col width="60" customWidth="1" min="10" max="10"/>
    <col width="60" customWidth="1" min="11" max="11"/>
    <col width="13" customWidth="1" min="12" max="12"/>
    <col width="12" customWidth="1" min="13" max="13"/>
  </cols>
  <sheetData>
    <row r="1" ht="30" customHeight="1">
      <c r="A1" s="5" t="inlineStr">
        <is>
          <t>Layer</t>
        </is>
      </c>
      <c r="B1" s="5" t="inlineStr">
        <is>
          <t>Pipeline</t>
        </is>
      </c>
      <c r="C1" s="5" t="inlineStr">
        <is>
          <t>Route</t>
        </is>
      </c>
      <c r="D1" s="5" t="inlineStr">
        <is>
          <t>Capacity (b/d)</t>
        </is>
      </c>
      <c r="E1" s="5" t="inlineStr">
        <is>
          <t>Measure</t>
        </is>
      </c>
      <c r="F1" s="5" t="inlineStr">
        <is>
          <t>As of</t>
        </is>
      </c>
      <c r="G1" s="5" t="inlineStr">
        <is>
          <t>Source type</t>
        </is>
      </c>
      <c r="H1" s="5" t="inlineStr">
        <is>
          <t>Source</t>
        </is>
      </c>
      <c r="I1" s="5" t="inlineStr">
        <is>
          <t>Link</t>
        </is>
      </c>
      <c r="J1" s="5" t="inlineStr">
        <is>
          <t>Quote from source</t>
        </is>
      </c>
      <c r="K1" s="5" t="inlineStr">
        <is>
          <t>Notes</t>
        </is>
      </c>
      <c r="L1" s="5" t="inlineStr">
        <is>
          <t>Width on map</t>
        </is>
      </c>
      <c r="M1" s="5" t="inlineStr">
        <is>
          <t>EIA route segments</t>
        </is>
      </c>
    </row>
    <row r="2">
      <c r="A2" s="6" t="inlineStr">
        <is>
          <t>Refined products</t>
        </is>
      </c>
      <c r="B2" s="6" t="inlineStr">
        <is>
          <t>Colonial Pipeline, Houston to Greensboro (Lines 1 and 2)</t>
        </is>
      </c>
      <c r="C2" s="6" t="inlineStr">
        <is>
          <t>Houston, TX to Greensboro, NC</t>
        </is>
      </c>
      <c r="D2" s="7" t="n">
        <v>2500000</v>
      </c>
      <c r="E2" s="6" t="inlineStr">
        <is>
          <t>Capacity</t>
        </is>
      </c>
      <c r="F2" s="6" t="inlineStr">
        <is>
          <t>2022</t>
        </is>
      </c>
      <c r="G2" s="6" t="inlineStr">
        <is>
          <t>Official (EIA)</t>
        </is>
      </c>
      <c r="H2" s="6" t="inlineStr">
        <is>
          <t>EIA, This Week in Petroleum, 15 Jun 2022</t>
        </is>
      </c>
      <c r="I2" s="8" t="inlineStr">
        <is>
          <t>https://www.eia.gov/petroleum/weekly/archive/2022/220615/includes/analysis_print.php</t>
        </is>
      </c>
      <c r="J2" s="6" t="inlineStr">
        <is>
          <t>Transportation fuels markets in the Gulf Coast and East Coast are linked primarily by the 2.5 million b/d Colonial Pipeline and by the 720,000 b/d Products (SE) Pipeline (formerly known as the Plantation Pipeline).</t>
        </is>
      </c>
      <c r="K2" s="6" t="inlineStr">
        <is>
          <t>Line 1 carries about 1.4M b/d of gasoline and Line 2 about 1.1M b/d of diesel, heating oil and jet fuel (EIA, This Week in Petroleum, 21 Sep 2016: https://www.eia.gov/petroleum/weekly/archive/2016/160921/includes/analysis_print.php). Drawn on the mainline only; laterals are thin</t>
        </is>
      </c>
      <c r="L2" s="6" t="inlineStr">
        <is>
          <t>Yes</t>
        </is>
      </c>
      <c r="M2" s="6" t="n">
        <v>1</v>
      </c>
    </row>
    <row r="3">
      <c r="A3" s="2" t="inlineStr">
        <is>
          <t>Refined products</t>
        </is>
      </c>
      <c r="B3" s="2" t="inlineStr">
        <is>
          <t>Colonial Pipeline, Greensboro to New York Harbor (Lines 3 and 4)</t>
        </is>
      </c>
      <c r="C3" s="2" t="inlineStr">
        <is>
          <t>Greensboro, NC to Baltimore, MD (Line 4) and Linden, NJ (Line 3)</t>
        </is>
      </c>
      <c r="D3" s="9" t="n">
        <v>1389000</v>
      </c>
      <c r="E3" s="2" t="inlineStr">
        <is>
          <t>Capacity (Line 3 885,000 + Line 4 504,000)</t>
        </is>
      </c>
      <c r="F3" s="2" t="inlineStr">
        <is>
          <t>2016</t>
        </is>
      </c>
      <c r="G3" s="2" t="inlineStr">
        <is>
          <t>Official (EIA study)</t>
        </is>
      </c>
      <c r="H3" s="2" t="inlineStr">
        <is>
          <t>EIA, East Coast and Gulf Coast Transportation Fuels Markets (prepared by ICF), Feb 2016, Table 5</t>
        </is>
      </c>
      <c r="I3" s="10" t="inlineStr">
        <is>
          <t>https://www.eia.gov/analysis/transportationfuels/padd1n3/pdf/transportation_fuels_padd1n3.pdf</t>
        </is>
      </c>
      <c r="J3" s="2" t="inlineStr">
        <is>
          <t>Northern Lines Line 3 Mixed Products Greensboro, NC Linden, NJ 885,000 Line 4 Mixed Products Greensboro, NC Dorsey, MD 504,000 Total 1,389,000</t>
        </is>
      </c>
      <c r="K3" s="2" t="inlineStr">
        <is>
          <t>Line 3 runs to Linden, NJ (New York Harbor) and Line 4 to Dorsey/Sykesville, MD (Baltimore). The same report gives the southern lines as Line 1 1,370,000 (gasoline) and Line 2 1,160,000 (distillate), total 2,530,000</t>
        </is>
      </c>
      <c r="L3" s="2" t="inlineStr">
        <is>
          <t>Yes</t>
        </is>
      </c>
      <c r="M3" s="2" t="n">
        <v>1</v>
      </c>
    </row>
    <row r="4">
      <c r="A4" s="6" t="inlineStr">
        <is>
          <t>Refined products</t>
        </is>
      </c>
      <c r="B4" s="6" t="inlineStr">
        <is>
          <t>Products SE Pipeline (formerly Plantation)</t>
        </is>
      </c>
      <c r="C4" s="6" t="inlineStr">
        <is>
          <t>Baton Rouge, LA to Washington, DC area</t>
        </is>
      </c>
      <c r="D4" s="7" t="n">
        <v>720000</v>
      </c>
      <c r="E4" s="6" t="inlineStr">
        <is>
          <t>Capacity</t>
        </is>
      </c>
      <c r="F4" s="6" t="inlineStr">
        <is>
          <t>2022</t>
        </is>
      </c>
      <c r="G4" s="6" t="inlineStr">
        <is>
          <t>Official (EIA)</t>
        </is>
      </c>
      <c r="H4" s="6" t="inlineStr">
        <is>
          <t>EIA, This Week in Petroleum, 15 Jun 2022</t>
        </is>
      </c>
      <c r="I4" s="8" t="inlineStr">
        <is>
          <t>https://www.eia.gov/petroleum/weekly/archive/2022/220615/includes/analysis_print.php</t>
        </is>
      </c>
      <c r="J4" s="6" t="inlineStr">
        <is>
          <t>... and by the 720,000 b/d Products (SE) Pipeline (formerly known as the Plantation Pipeline).</t>
        </is>
      </c>
      <c r="K4" s="6" t="inlineStr">
        <is>
          <t>Renamed from Plantation: Kinder Morgan's 10-K for 2025 lists the "Products (SE) pipeline" (3,181 miles, 51% owned via Products (SE) Pipe Line Corporation): https://www.sec.gov/Archives/edgar/data/1506307/000150630726000011/kmi-20251231.htm. Earlier: about 710,000 b/d after a 2001 expansion (Kinder Morgan Energy Partners 10-K405 for 2001: https://www.sec.gov/Archives/edgar/data/888228/000095012902000816/h94309e10-k405.txt). Drawn on the mainline only; laterals are thin</t>
        </is>
      </c>
      <c r="L4" s="6" t="inlineStr">
        <is>
          <t>Yes</t>
        </is>
      </c>
      <c r="M4" s="6" t="n">
        <v>1</v>
      </c>
    </row>
    <row r="5">
      <c r="A5" s="2" t="inlineStr">
        <is>
          <t>Refined products</t>
        </is>
      </c>
      <c r="B5" s="2" t="inlineStr">
        <is>
          <t>Explorer Pipeline (Houston to Tulsa and Wood River)</t>
        </is>
      </c>
      <c r="C5" s="2" t="inlineStr">
        <is>
          <t>Port Arthur/Houston, TX to Tulsa, OK and Wood River, IL</t>
        </is>
      </c>
      <c r="D5" s="9" t="n">
        <v>660000</v>
      </c>
      <c r="E5" s="2" t="inlineStr">
        <is>
          <t>Capacity</t>
        </is>
      </c>
      <c r="F5" s="2" t="inlineStr">
        <is>
          <t>2025</t>
        </is>
      </c>
      <c r="G5" s="2" t="inlineStr">
        <is>
          <t>Company SEC filing</t>
        </is>
      </c>
      <c r="H5" s="2" t="inlineStr">
        <is>
          <t>Phillips 66, Form 10-K for 2025 (pipeline table: Explorer, 660 MB/D gross capacity); Explorer Pipeline history page</t>
        </is>
      </c>
      <c r="I5" s="10" t="inlineStr">
        <is>
          <t>https://www.sec.gov/Archives/edgar/data/1534701/000153470126000006/psx-20251231.htm</t>
        </is>
      </c>
      <c r="J5" s="2" t="inlineStr">
        <is>
          <t>Explorer Texas/Indiana 22 1,830 660 [interest %, miles, gross capacity MB/D]</t>
        </is>
      </c>
      <c r="K5" s="2" t="inlineStr">
        <is>
          <t>Explorer: southern system (Houston to Tulsa) 660,000 b/d; northern system (Tulsa to Hammond) 450,000 b/d (https://www.expl.com/2205-2/). The EIA route runs through to Wood River as one line, drawn at the southern figure</t>
        </is>
      </c>
      <c r="L5" s="2" t="inlineStr">
        <is>
          <t>Yes</t>
        </is>
      </c>
      <c r="M5" s="2" t="n">
        <v>1</v>
      </c>
    </row>
    <row r="6">
      <c r="A6" s="6" t="inlineStr">
        <is>
          <t>Refined products</t>
        </is>
      </c>
      <c r="B6" s="6" t="inlineStr">
        <is>
          <t>Explorer Pipeline (Wood River to Hammond)</t>
        </is>
      </c>
      <c r="C6" s="6" t="inlineStr">
        <is>
          <t>Wood River, IL to Hammond, IN (Chicago)</t>
        </is>
      </c>
      <c r="D6" s="7" t="n">
        <v>450000</v>
      </c>
      <c r="E6" s="6" t="inlineStr">
        <is>
          <t>Capacity</t>
        </is>
      </c>
      <c r="F6" s="6" t="inlineStr">
        <is>
          <t>2025</t>
        </is>
      </c>
      <c r="G6" s="6" t="inlineStr">
        <is>
          <t>Company website</t>
        </is>
      </c>
      <c r="H6" s="6" t="inlineStr">
        <is>
          <t>Explorer Pipeline Company: Our History</t>
        </is>
      </c>
      <c r="I6" s="8" t="inlineStr">
        <is>
          <t>https://www.expl.com/2205-2/</t>
        </is>
      </c>
      <c r="J6" s="6" t="inlineStr">
        <is>
          <t>The northern system currently has a capacity of 450,000 barrels per day</t>
        </is>
      </c>
      <c r="K6" s="6" t="inlineStr"/>
      <c r="L6" s="6" t="inlineStr">
        <is>
          <t>Yes</t>
        </is>
      </c>
      <c r="M6" s="6" t="n">
        <v>1</v>
      </c>
    </row>
    <row r="7">
      <c r="A7" s="2" t="inlineStr">
        <is>
          <t>Refined products</t>
        </is>
      </c>
      <c r="B7" s="2" t="inlineStr">
        <is>
          <t>Gold Line</t>
        </is>
      </c>
      <c r="C7" s="2" t="inlineStr">
        <is>
          <t>Borger, TX to East St. Louis, IL</t>
        </is>
      </c>
      <c r="D7" s="9" t="n">
        <v>120000</v>
      </c>
      <c r="E7" s="2" t="inlineStr">
        <is>
          <t>Capacity</t>
        </is>
      </c>
      <c r="F7" s="2" t="inlineStr">
        <is>
          <t>2025</t>
        </is>
      </c>
      <c r="G7" s="2" t="inlineStr">
        <is>
          <t>Company SEC filing</t>
        </is>
      </c>
      <c r="H7" s="2" t="inlineStr">
        <is>
          <t>Phillips 66, Form 10-K for 2025, pipeline table</t>
        </is>
      </c>
      <c r="I7" s="10" t="inlineStr">
        <is>
          <t>https://www.sec.gov/Archives/edgar/data/1534701/000153470126000006/psx-20251231.htm</t>
        </is>
      </c>
      <c r="J7" s="2" t="inlineStr">
        <is>
          <t>Gold Line Texas/Illinois 100 686 120</t>
        </is>
      </c>
      <c r="K7" s="2" t="inlineStr"/>
      <c r="L7" s="2" t="inlineStr">
        <is>
          <t>Yes</t>
        </is>
      </c>
      <c r="M7" s="2" t="n">
        <v>1</v>
      </c>
    </row>
    <row r="8">
      <c r="A8" s="6" t="inlineStr">
        <is>
          <t>Refined products</t>
        </is>
      </c>
      <c r="B8" s="6" t="inlineStr">
        <is>
          <t>Yellowstone Pipeline</t>
        </is>
      </c>
      <c r="C8" s="6" t="inlineStr">
        <is>
          <t>Billings, MT to Spokane/Moses Lake, WA</t>
        </is>
      </c>
      <c r="D8" s="7" t="n">
        <v>68000</v>
      </c>
      <c r="E8" s="6" t="inlineStr">
        <is>
          <t>Capacity</t>
        </is>
      </c>
      <c r="F8" s="6" t="inlineStr">
        <is>
          <t>2025</t>
        </is>
      </c>
      <c r="G8" s="6" t="inlineStr">
        <is>
          <t>Company SEC filing</t>
        </is>
      </c>
      <c r="H8" s="6" t="inlineStr">
        <is>
          <t>Phillips 66, Form 10-K for 2025, pipeline table</t>
        </is>
      </c>
      <c r="I8" s="8" t="inlineStr">
        <is>
          <t>https://www.sec.gov/Archives/edgar/data/1534701/000153470126000006/psx-20251231.htm</t>
        </is>
      </c>
      <c r="J8" s="6" t="inlineStr">
        <is>
          <t>Yellowstone Montana/Washington 46 710 68</t>
        </is>
      </c>
      <c r="K8" s="6" t="inlineStr"/>
      <c r="L8" s="6" t="inlineStr">
        <is>
          <t>Yes</t>
        </is>
      </c>
      <c r="M8" s="6" t="n">
        <v>2</v>
      </c>
    </row>
    <row r="9">
      <c r="A9" s="2" t="inlineStr">
        <is>
          <t>Refined products</t>
        </is>
      </c>
      <c r="B9" s="2" t="inlineStr">
        <is>
          <t>Pioneer Pipeline</t>
        </is>
      </c>
      <c r="C9" s="2" t="inlineStr">
        <is>
          <t>Sinclair, WY to Salt Lake City, UT</t>
        </is>
      </c>
      <c r="D9" s="9" t="n">
        <v>63000</v>
      </c>
      <c r="E9" s="2" t="inlineStr">
        <is>
          <t>Capacity</t>
        </is>
      </c>
      <c r="F9" s="2" t="inlineStr">
        <is>
          <t>2025</t>
        </is>
      </c>
      <c r="G9" s="2" t="inlineStr">
        <is>
          <t>Company SEC filing</t>
        </is>
      </c>
      <c r="H9" s="2" t="inlineStr">
        <is>
          <t>Phillips 66, Form 10-K for 2025, pipeline table</t>
        </is>
      </c>
      <c r="I9" s="10" t="inlineStr">
        <is>
          <t>https://www.sec.gov/Archives/edgar/data/1534701/000153470126000006/psx-20251231.htm</t>
        </is>
      </c>
      <c r="J9" s="2" t="inlineStr">
        <is>
          <t>Pioneer Wyoming/Utah 50 562 63</t>
        </is>
      </c>
      <c r="K9" s="2" t="inlineStr"/>
      <c r="L9" s="2" t="inlineStr">
        <is>
          <t>Yes</t>
        </is>
      </c>
      <c r="M9" s="2" t="n">
        <v>1</v>
      </c>
    </row>
    <row r="10">
      <c r="A10" s="6" t="inlineStr">
        <is>
          <t>Refined products</t>
        </is>
      </c>
      <c r="B10" s="6" t="inlineStr">
        <is>
          <t>Borger to Denver</t>
        </is>
      </c>
      <c r="C10" s="6" t="inlineStr">
        <is>
          <t>Borger, TX to Denver, CO</t>
        </is>
      </c>
      <c r="D10" s="7" t="n">
        <v>39000</v>
      </c>
      <c r="E10" s="6" t="inlineStr">
        <is>
          <t>Capacity</t>
        </is>
      </c>
      <c r="F10" s="6" t="inlineStr">
        <is>
          <t>2025</t>
        </is>
      </c>
      <c r="G10" s="6" t="inlineStr">
        <is>
          <t>Company SEC filing</t>
        </is>
      </c>
      <c r="H10" s="6" t="inlineStr">
        <is>
          <t>Phillips 66, Form 10-K for 2025, pipeline table</t>
        </is>
      </c>
      <c r="I10" s="8" t="inlineStr">
        <is>
          <t>https://www.sec.gov/Archives/edgar/data/1534701/000153470126000006/psx-20251231.htm</t>
        </is>
      </c>
      <c r="J10" s="6" t="inlineStr">
        <is>
          <t>Borger-Denver Texas/Colorado 65 207 39</t>
        </is>
      </c>
      <c r="K10" s="6" t="inlineStr"/>
      <c r="L10" s="6" t="inlineStr">
        <is>
          <t>Yes</t>
        </is>
      </c>
      <c r="M10" s="6" t="n">
        <v>1</v>
      </c>
    </row>
    <row r="11">
      <c r="A11" s="2" t="inlineStr">
        <is>
          <t>Refined products</t>
        </is>
      </c>
      <c r="B11" s="2" t="inlineStr">
        <is>
          <t>UNEV Pipeline</t>
        </is>
      </c>
      <c r="C11" s="2" t="inlineStr">
        <is>
          <t>Woods Cross (Salt Lake City), UT to Las Vegas, NV</t>
        </is>
      </c>
      <c r="D11" s="9" t="n">
        <v>62000</v>
      </c>
      <c r="E11" s="2" t="inlineStr">
        <is>
          <t>Capacity</t>
        </is>
      </c>
      <c r="F11" s="2" t="inlineStr">
        <is>
          <t>2020</t>
        </is>
      </c>
      <c r="G11" s="2" t="inlineStr">
        <is>
          <t>Company SEC filing</t>
        </is>
      </c>
      <c r="H11" s="2" t="inlineStr">
        <is>
          <t>Holly Energy Partners, Form 10-K for 2020, pipeline table</t>
        </is>
      </c>
      <c r="I11" s="10" t="inlineStr">
        <is>
          <t>https://www.sec.gov/Archives/edgar/data/1283140/000128314021000012/hfc-20201231.htm</t>
        </is>
      </c>
      <c r="J11" s="2" t="inlineStr">
        <is>
          <t>Woods Cross, UT to Las Vegas, NV 12 427 62,000 [diameter in, miles, capacity bpd]</t>
        </is>
      </c>
      <c r="K11" s="2" t="inlineStr"/>
      <c r="L11" s="2" t="inlineStr">
        <is>
          <t>Yes</t>
        </is>
      </c>
      <c r="M11" s="2" t="n">
        <v>2</v>
      </c>
    </row>
    <row r="12">
      <c r="A12" s="6" t="inlineStr">
        <is>
          <t>Refined products</t>
        </is>
      </c>
      <c r="B12" s="6" t="inlineStr">
        <is>
          <t>Northwest Products System (Salt Lake City to Spokane)</t>
        </is>
      </c>
      <c r="C12" s="6" t="inlineStr">
        <is>
          <t>Salt Lake City, UT to Boise, ID, Pasco and Spokane, WA</t>
        </is>
      </c>
      <c r="D12" s="7" t="n">
        <v>87000</v>
      </c>
      <c r="E12" s="6" t="inlineStr">
        <is>
          <t>Throughput (2012 average)</t>
        </is>
      </c>
      <c r="F12" s="6" t="inlineStr">
        <is>
          <t>2012</t>
        </is>
      </c>
      <c r="G12" s="6" t="inlineStr">
        <is>
          <t>Company SEC filing</t>
        </is>
      </c>
      <c r="H12" s="6" t="inlineStr">
        <is>
          <t>Tesoro Logistics, press release filed with the SEC (Exhibit 99.1), 2013</t>
        </is>
      </c>
      <c r="I12" s="8" t="inlineStr">
        <is>
          <t>https://www.sec.gov/Archives/edgar/data/1507615/000150761513000038/tllpex991pressrelease.htm</t>
        </is>
      </c>
      <c r="J12" s="6" t="inlineStr">
        <is>
          <t>For 2012, throughput volumes on the pipeline system averaged approximately 87,000 barrels per day.</t>
        </is>
      </c>
      <c r="K12" s="6" t="inlineStr">
        <is>
          <t>Sold by Chevron to Tesoro Logistics in 2013; now operated by Marathon. Capacity not published; drawn at 2012 throughput</t>
        </is>
      </c>
      <c r="L12" s="6" t="inlineStr">
        <is>
          <t>Yes</t>
        </is>
      </c>
      <c r="M12" s="6" t="n">
        <v>2</v>
      </c>
    </row>
    <row r="13">
      <c r="A13" s="2" t="inlineStr">
        <is>
          <t>Refined products</t>
        </is>
      </c>
      <c r="B13" s="2" t="inlineStr">
        <is>
          <t>Wolverine Pipe Line</t>
        </is>
      </c>
      <c r="C13" s="2" t="inlineStr">
        <is>
          <t>Chicago area to Michigan and northwest Indiana</t>
        </is>
      </c>
      <c r="D13" s="9" t="n">
        <v>357000</v>
      </c>
      <c r="E13" s="2" t="inlineStr">
        <is>
          <t>Throughput (about 15 million gallons a day)</t>
        </is>
      </c>
      <c r="F13" s="2" t="inlineStr">
        <is>
          <t>2026</t>
        </is>
      </c>
      <c r="G13" s="2" t="inlineStr">
        <is>
          <t>Company website</t>
        </is>
      </c>
      <c r="H13" s="2" t="inlineStr">
        <is>
          <t>Wolverine Pipe Line Company: Who is Wolverine</t>
        </is>
      </c>
      <c r="I13" s="10" t="inlineStr">
        <is>
          <t>https://wolverinepipeline.com/who-is-wolverine-pipe-line-company/</t>
        </is>
      </c>
      <c r="J13" s="2" t="inlineStr">
        <is>
          <t>approximately fifteen million gallons of products a day</t>
        </is>
      </c>
      <c r="K13" s="2" t="inlineStr">
        <is>
          <t>15 million gallons at 42 gallons a barrel is about 357,000 b/d. Capacity not published; drawn at stated throughput</t>
        </is>
      </c>
      <c r="L13" s="2" t="inlineStr">
        <is>
          <t>Yes</t>
        </is>
      </c>
      <c r="M13" s="2" t="n">
        <v>1</v>
      </c>
    </row>
    <row r="14">
      <c r="A14" s="6" t="inlineStr">
        <is>
          <t>Refined products</t>
        </is>
      </c>
      <c r="B14" s="6" t="inlineStr">
        <is>
          <t>Olympic Pipeline</t>
        </is>
      </c>
      <c r="C14" s="6" t="inlineStr">
        <is>
          <t>Blaine/Ferndale, WA to Portland, OR</t>
        </is>
      </c>
      <c r="D14" s="7" t="n">
        <v>300000</v>
      </c>
      <c r="E14" s="6" t="inlineStr">
        <is>
          <t>Capacity (press-reported)</t>
        </is>
      </c>
      <c r="F14" s="6" t="inlineStr"/>
      <c r="G14" s="6" t="inlineStr">
        <is>
          <t>Press</t>
        </is>
      </c>
      <c r="H14" s="6" t="inlineStr">
        <is>
          <t>Skagit Valley Herald (goskagit.com), citing BP; Global Energy Monitor gives about 325,000</t>
        </is>
      </c>
      <c r="I14" s="8" t="inlineStr">
        <is>
          <t>https://www.goskagit.com/news/local_news/work-planned-for-olympic-pipeline/article_e21abba8-d69e-5735-bace-223d07386733.html</t>
        </is>
      </c>
      <c r="J14" s="6" t="inlineStr"/>
      <c r="K14" s="6" t="inlineStr">
        <is>
          <t>Not confirmed from an operator or official document; drawn at the reported figure</t>
        </is>
      </c>
      <c r="L14" s="6" t="inlineStr">
        <is>
          <t>Yes</t>
        </is>
      </c>
      <c r="M14" s="6" t="n">
        <v>1</v>
      </c>
    </row>
    <row r="15">
      <c r="A15" s="2" t="inlineStr">
        <is>
          <t>Refined products</t>
        </is>
      </c>
      <c r="B15" s="2" t="inlineStr">
        <is>
          <t>Laurel Pipeline, Duncansville to Coraopolis (Pittsburgh)</t>
        </is>
      </c>
      <c r="C15" s="2" t="inlineStr">
        <is>
          <t>Duncansville, PA to Coraopolis, PA</t>
        </is>
      </c>
      <c r="D15" s="9" t="n">
        <v>180000</v>
      </c>
      <c r="E15" s="2" t="inlineStr">
        <is>
          <t>Capacity</t>
        </is>
      </c>
      <c r="F15" s="2" t="inlineStr">
        <is>
          <t>2016</t>
        </is>
      </c>
      <c r="G15" s="2" t="inlineStr">
        <is>
          <t>Official (EIA study)</t>
        </is>
      </c>
      <c r="H15" s="2" t="inlineStr">
        <is>
          <t>EIA, East Coast and Gulf Coast Transportation Fuels Markets (prepared by ICF), Feb 2016, Table 17</t>
        </is>
      </c>
      <c r="I15" s="10" t="inlineStr">
        <is>
          <t>https://www.eia.gov/analysis/transportationfuels/padd1n3/pdf/transportation_fuels_padd1n3.pdf</t>
        </is>
      </c>
      <c r="J15" s="2" t="inlineStr">
        <is>
          <t>Duncansville, PA Coraopolis, PA 180,000</t>
        </is>
      </c>
      <c r="K15" s="2" t="inlineStr"/>
      <c r="L15" s="2" t="inlineStr">
        <is>
          <t>Yes</t>
        </is>
      </c>
      <c r="M15" s="2" t="n">
        <v>1</v>
      </c>
    </row>
    <row r="16">
      <c r="A16" s="6" t="inlineStr">
        <is>
          <t>Refined products</t>
        </is>
      </c>
      <c r="B16" s="6" t="inlineStr">
        <is>
          <t>Laurel Pipeline, Mechanicsburg to Duncansville</t>
        </is>
      </c>
      <c r="C16" s="6" t="inlineStr">
        <is>
          <t>Mechanicsburg, PA to Duncansville, PA</t>
        </is>
      </c>
      <c r="D16" s="7" t="n">
        <v>216000</v>
      </c>
      <c r="E16" s="6" t="inlineStr">
        <is>
          <t>Capacity</t>
        </is>
      </c>
      <c r="F16" s="6" t="inlineStr">
        <is>
          <t>2016</t>
        </is>
      </c>
      <c r="G16" s="6" t="inlineStr">
        <is>
          <t>Official (EIA study)</t>
        </is>
      </c>
      <c r="H16" s="6" t="inlineStr">
        <is>
          <t>EIA, East Coast and Gulf Coast Transportation Fuels Markets (prepared by ICF), Feb 2016, Table 17</t>
        </is>
      </c>
      <c r="I16" s="8" t="inlineStr">
        <is>
          <t>https://www.eia.gov/analysis/transportationfuels/padd1n3/pdf/transportation_fuels_padd1n3.pdf</t>
        </is>
      </c>
      <c r="J16" s="6" t="inlineStr">
        <is>
          <t>Mechanicsburg, PA Duncansville, PA 216,000</t>
        </is>
      </c>
      <c r="K16" s="6" t="inlineStr"/>
      <c r="L16" s="6" t="inlineStr">
        <is>
          <t>Yes</t>
        </is>
      </c>
      <c r="M16" s="6" t="n">
        <v>1</v>
      </c>
    </row>
    <row r="17">
      <c r="A17" s="2" t="inlineStr">
        <is>
          <t>Refined products</t>
        </is>
      </c>
      <c r="B17" s="2" t="inlineStr">
        <is>
          <t>Laurel Pipeline, Booth (Philadelphia) to Mechanicsburg</t>
        </is>
      </c>
      <c r="C17" s="2" t="inlineStr">
        <is>
          <t>Booth, PA to Mechanicsburg, PA</t>
        </is>
      </c>
      <c r="D17" s="9" t="n">
        <v>312000</v>
      </c>
      <c r="E17" s="2" t="inlineStr">
        <is>
          <t>Capacity</t>
        </is>
      </c>
      <c r="F17" s="2" t="inlineStr">
        <is>
          <t>2016</t>
        </is>
      </c>
      <c r="G17" s="2" t="inlineStr">
        <is>
          <t>Official (EIA study)</t>
        </is>
      </c>
      <c r="H17" s="2" t="inlineStr">
        <is>
          <t>EIA, East Coast and Gulf Coast Transportation Fuels Markets (prepared by ICF), Feb 2016, Table 17</t>
        </is>
      </c>
      <c r="I17" s="10" t="inlineStr">
        <is>
          <t>https://www.eia.gov/analysis/transportationfuels/padd1n3/pdf/transportation_fuels_padd1n3.pdf</t>
        </is>
      </c>
      <c r="J17" s="2" t="inlineStr">
        <is>
          <t>Laurel Pipeline Booth, PA Mechanicsburg, PA 312,000</t>
        </is>
      </c>
      <c r="K17" s="2" t="inlineStr">
        <is>
          <t>The EIA route for this stretch is labelled Buckeye</t>
        </is>
      </c>
      <c r="L17" s="2" t="inlineStr">
        <is>
          <t>Yes</t>
        </is>
      </c>
      <c r="M17" s="2" t="n">
        <v>1</v>
      </c>
    </row>
    <row r="18">
      <c r="A18" s="6" t="inlineStr">
        <is>
          <t>Refined products</t>
        </is>
      </c>
      <c r="B18" s="6" t="inlineStr">
        <is>
          <t>CALNEV Pipeline</t>
        </is>
      </c>
      <c r="C18" s="6" t="inlineStr">
        <is>
          <t>Colton, CA to Las Vegas, NV</t>
        </is>
      </c>
      <c r="D18" s="7" t="n">
        <v>108300</v>
      </c>
      <c r="E18" s="6" t="inlineStr">
        <is>
          <t>Throughput (2012 average)</t>
        </is>
      </c>
      <c r="F18" s="6" t="inlineStr">
        <is>
          <t>2012</t>
        </is>
      </c>
      <c r="G18" s="6" t="inlineStr">
        <is>
          <t>Company SEC filing</t>
        </is>
      </c>
      <c r="H18" s="6" t="inlineStr">
        <is>
          <t>Kinder Morgan, Inc., Form 10-K for 2012</t>
        </is>
      </c>
      <c r="I18" s="8" t="inlineStr">
        <is>
          <t>https://www.sec.gov/Archives/edgar/data/1506307/000150630713000015/kmi-20121231x10k.htm</t>
        </is>
      </c>
      <c r="J18" s="6" t="inlineStr">
        <is>
          <t>In 2012, the Calnev pipeline system transported approximately 108,300 barrels per day of refined products</t>
        </is>
      </c>
      <c r="K18" s="6" t="inlineStr">
        <is>
          <t>Capacity not published. Wikipedia and Global Energy Monitor give about 128,000 b/d</t>
        </is>
      </c>
      <c r="L18" s="6" t="inlineStr">
        <is>
          <t>Yes</t>
        </is>
      </c>
      <c r="M18" s="6" t="n">
        <v>2</v>
      </c>
    </row>
    <row r="19">
      <c r="A19" s="2" t="inlineStr">
        <is>
          <t>Refined products</t>
        </is>
      </c>
      <c r="B19" s="2" t="inlineStr">
        <is>
          <t>Centennial Pipeline</t>
        </is>
      </c>
      <c r="C19" s="2" t="inlineStr">
        <is>
          <t>Beaumont, TX to Bourbon, IL</t>
        </is>
      </c>
      <c r="D19" s="9" t="n">
        <v>210000</v>
      </c>
      <c r="E19" s="2" t="inlineStr">
        <is>
          <t>Capacity</t>
        </is>
      </c>
      <c r="F19" s="2" t="inlineStr">
        <is>
          <t>2016</t>
        </is>
      </c>
      <c r="G19" s="2" t="inlineStr">
        <is>
          <t>Official (EIA study)</t>
        </is>
      </c>
      <c r="H19" s="2" t="inlineStr">
        <is>
          <t>EIA, East Coast and Gulf Coast Transportation Fuels Markets (prepared by ICF), Feb 2016, Table 33</t>
        </is>
      </c>
      <c r="I19" s="10" t="inlineStr">
        <is>
          <t>https://www.eia.gov/analysis/transportationfuels/padd1n3/pdf/transportation_fuels_padd1n3.pdf</t>
        </is>
      </c>
      <c r="J19" s="2" t="inlineStr">
        <is>
          <t>Centennial Pipeline Beaumont, TX Bourbon, IL 795 210,000 (A) Largely idle since mid-2011.</t>
        </is>
      </c>
      <c r="K19" s="2" t="inlineStr">
        <is>
          <t>EIA: largely idle since mid-2011; its owners (Marathon, Enterprise) have considered converting it to carry NGLs south. Drawn at capacity</t>
        </is>
      </c>
      <c r="L19" s="2" t="inlineStr">
        <is>
          <t>Yes</t>
        </is>
      </c>
      <c r="M19" s="2" t="n">
        <v>1</v>
      </c>
    </row>
    <row r="20">
      <c r="A20" s="6" t="inlineStr">
        <is>
          <t>Refined products</t>
        </is>
      </c>
      <c r="B20" s="6" t="inlineStr">
        <is>
          <t>SFPP East Line (Kinder Morgan)</t>
        </is>
      </c>
      <c r="C20" s="6" t="inlineStr">
        <is>
          <t>El Paso, TX to Phoenix, AZ</t>
        </is>
      </c>
      <c r="D20" s="7" t="n">
        <v>200000</v>
      </c>
      <c r="E20" s="6" t="inlineStr">
        <is>
          <t>Capacity</t>
        </is>
      </c>
      <c r="F20" s="6" t="inlineStr">
        <is>
          <t>2016</t>
        </is>
      </c>
      <c r="G20" s="6" t="inlineStr">
        <is>
          <t>Official (EIA study)</t>
        </is>
      </c>
      <c r="H20" s="6" t="inlineStr">
        <is>
          <t>EIA, East Coast and Gulf Coast Transportation Fuels Markets (prepared by ICF), Feb 2016, Tables 30 and 41</t>
        </is>
      </c>
      <c r="I20" s="8" t="inlineStr">
        <is>
          <t>https://www.eia.gov/analysis/transportationfuels/padd1n3/pdf/transportation_fuels_padd1n3.pdf</t>
        </is>
      </c>
      <c r="J20" s="6" t="inlineStr">
        <is>
          <t>Kinder Morgan SFPP East Line El Paso, TX Phoenix, AZ 230 200,000</t>
        </is>
      </c>
      <c r="K20" s="6" t="inlineStr">
        <is>
          <t>Two parallel pipelines (EIA West Coast report, 2015)</t>
        </is>
      </c>
      <c r="L20" s="6" t="inlineStr">
        <is>
          <t>Yes</t>
        </is>
      </c>
      <c r="M20" s="6" t="n">
        <v>1</v>
      </c>
    </row>
    <row r="21">
      <c r="A21" s="2" t="inlineStr">
        <is>
          <t>Refined products</t>
        </is>
      </c>
      <c r="B21" s="2" t="inlineStr">
        <is>
          <t>SFPP West Line (Kinder Morgan)</t>
        </is>
      </c>
      <c r="C21" s="2" t="inlineStr">
        <is>
          <t>Colton (Los Angeles area), CA to Phoenix, AZ</t>
        </is>
      </c>
      <c r="D21" s="9" t="n">
        <v>69000</v>
      </c>
      <c r="E21" s="2" t="inlineStr">
        <is>
          <t>Throughput (2013)</t>
        </is>
      </c>
      <c r="F21" s="2" t="inlineStr">
        <is>
          <t>2013</t>
        </is>
      </c>
      <c r="G21" s="2" t="inlineStr">
        <is>
          <t>Official (EIA study)</t>
        </is>
      </c>
      <c r="H21" s="2" t="inlineStr">
        <is>
          <t>EIA, West Coast Transportation Fuels Markets, Sep 2015</t>
        </is>
      </c>
      <c r="I21" s="10" t="inlineStr">
        <is>
          <t>https://www.eia.gov/analysis/transportationfuels/padd5/pdf/transportation_fuels.pdf</t>
        </is>
      </c>
      <c r="J21" s="2" t="inlineStr">
        <is>
          <t>The Kinder Morgan West Line ... in 2013, it moved 35,000 b/d of gasoline, 6,000 b/d of jet, and 28,000 b/d of distillate to Phoenix, Arizona.</t>
        </is>
      </c>
      <c r="K21" s="2" t="inlineStr">
        <is>
          <t>Capacity not published; EIA notes the West Line operates well below capacity. Drawn at 2013 throughput (35,000 + 6,000 + 28,000)</t>
        </is>
      </c>
      <c r="L21" s="2" t="inlineStr">
        <is>
          <t>Yes</t>
        </is>
      </c>
      <c r="M21" s="2" t="n">
        <v>1</v>
      </c>
    </row>
    <row r="22">
      <c r="A22" s="6" t="inlineStr">
        <is>
          <t>Refined products</t>
        </is>
      </c>
      <c r="B22" s="6" t="inlineStr">
        <is>
          <t>SFPP North Line, Oregon Line and San Diego Line (Kinder Morgan)</t>
        </is>
      </c>
      <c r="C22" s="6" t="inlineStr">
        <is>
          <t>Los Angeles and Bay Area to Arizona, Nevada and Oregon; El Paso to Phoenix</t>
        </is>
      </c>
      <c r="D22" s="7" t="n"/>
      <c r="E22" s="6" t="inlineStr">
        <is>
          <t>Not published</t>
        </is>
      </c>
      <c r="F22" s="6" t="inlineStr"/>
      <c r="G22" s="6" t="inlineStr">
        <is>
          <t>Company website</t>
        </is>
      </c>
      <c r="H22" s="6" t="inlineStr">
        <is>
          <t>Kinder Morgan Products Pipelines</t>
        </is>
      </c>
      <c r="I22" s="8" t="inlineStr">
        <is>
          <t>https://kindermorgan.com/Operations/Products/Index</t>
        </is>
      </c>
      <c r="J22" s="6" t="inlineStr"/>
      <c r="K22" s="6" t="inlineStr">
        <is>
          <t>No capacity published for these lines. Kinder Morgan: its Pacific system as a whole moves more than one million b/d (Pacific Operations brochure, March 2025: https://www.kindermorgan.com/WWWKM/media/Documents/2025-March-Pacific-ops-brochure.pdf)</t>
        </is>
      </c>
      <c r="L22" s="6" t="inlineStr">
        <is>
          <t>No (thin)</t>
        </is>
      </c>
      <c r="M22" s="6" t="n">
        <v>8</v>
      </c>
    </row>
    <row r="23">
      <c r="A23" s="2" t="inlineStr">
        <is>
          <t>Refined products</t>
        </is>
      </c>
      <c r="B23" s="2" t="inlineStr">
        <is>
          <t>Networks with no single capacity (Magellan/ONEOK, NuStar, Buckeye, TEPPCO, Marathon, BP, Sunoco and others)</t>
        </is>
      </c>
      <c r="C23" s="2" t="inlineStr">
        <is>
          <t>Gulf Coast and Mid-Continent to the Midwest and Northeast</t>
        </is>
      </c>
      <c r="D23" s="9" t="n"/>
      <c r="E23" s="2" t="inlineStr">
        <is>
          <t>Not published</t>
        </is>
      </c>
      <c r="F23" s="2" t="inlineStr"/>
      <c r="G23" s="2" t="inlineStr">
        <is>
          <t>Company SEC filing</t>
        </is>
      </c>
      <c r="H23" s="2" t="inlineStr">
        <is>
          <t>e.g. Magellan Midstream Partners, Form 10-K for 2022: a 9,800-mile refined products system with no capacity by line</t>
        </is>
      </c>
      <c r="I23" s="10" t="inlineStr">
        <is>
          <t>https://www.sec.gov/Archives/edgar/data/1126975/000112697523000064/mmp-20221231.htm</t>
        </is>
      </c>
      <c r="J23" s="2" t="inlineStr"/>
      <c r="K23" s="2" t="inlineStr">
        <is>
          <t>Drawn thin where no segment figure exists. Segment figures from the EIA regional studies are listed as their own rows</t>
        </is>
      </c>
      <c r="L23" s="2" t="inlineStr">
        <is>
          <t>No (thin)</t>
        </is>
      </c>
      <c r="M23" s="2" t="inlineStr"/>
    </row>
    <row r="24">
      <c r="A24" s="6" t="inlineStr">
        <is>
          <t>Crude oil</t>
        </is>
      </c>
      <c r="B24" s="6" t="inlineStr">
        <is>
          <t>Enbridge Canadian Mainline</t>
        </is>
      </c>
      <c r="C24" s="6" t="inlineStr">
        <is>
          <t>Edmonton, AB to the US border at Neche, ND / Gretna, MB</t>
        </is>
      </c>
      <c r="D24" s="7" t="n">
        <v>3200000</v>
      </c>
      <c r="E24" s="6" t="inlineStr">
        <is>
          <t>Capacity</t>
        </is>
      </c>
      <c r="F24" s="6" t="inlineStr">
        <is>
          <t>2025</t>
        </is>
      </c>
      <c r="G24" s="6" t="inlineStr">
        <is>
          <t>Company SEC filing</t>
        </is>
      </c>
      <c r="H24" s="6" t="inlineStr">
        <is>
          <t>Enbridge Inc., Form 10-K for 2025</t>
        </is>
      </c>
      <c r="I24" s="8" t="inlineStr">
        <is>
          <t>https://www.sec.gov/Archives/edgar/data/895728/000119312526049810/enb-20251231.htm</t>
        </is>
      </c>
      <c r="J24" s="6" t="inlineStr">
        <is>
          <t>The Canadian Mainline includes six adjacent pipelines with a combined operating capacity of approximately 3.2 mmbpd that connect with the Lakehead System at the Canada/US border</t>
        </is>
      </c>
      <c r="K24" s="6" t="inlineStr"/>
      <c r="L24" s="6" t="inlineStr">
        <is>
          <t>Yes</t>
        </is>
      </c>
      <c r="M24" s="6" t="n">
        <v>1</v>
      </c>
    </row>
    <row r="25">
      <c r="A25" s="2" t="inlineStr">
        <is>
          <t>Crude oil</t>
        </is>
      </c>
      <c r="B25" s="2" t="inlineStr">
        <is>
          <t>Enbridge Lakehead System, border to Superior (excluding Line 67)</t>
        </is>
      </c>
      <c r="C25" s="2" t="inlineStr">
        <is>
          <t>Neche, ND to Superior, WI</t>
        </is>
      </c>
      <c r="D25" s="9" t="n">
        <v>2400000</v>
      </c>
      <c r="E25" s="2" t="inlineStr">
        <is>
          <t>Derived capacity</t>
        </is>
      </c>
      <c r="F25" s="2" t="inlineStr">
        <is>
          <t>2025</t>
        </is>
      </c>
      <c r="G25" s="2" t="inlineStr">
        <is>
          <t>Derived from official and company figures</t>
        </is>
      </c>
      <c r="H25" s="2" t="inlineStr">
        <is>
          <t>Enbridge 10-K for 2025 (Mainline 3.2 mmbpd) less Line 67 (800,000 b/d, EIA liquids pipeline projects database)</t>
        </is>
      </c>
      <c r="I25" s="10" t="inlineStr">
        <is>
          <t>https://www.eia.gov/petroleum/xls/EIA_LiqPipProject.xlsx</t>
        </is>
      </c>
      <c r="J25" s="2" t="inlineStr"/>
      <c r="K25" s="2" t="inlineStr">
        <is>
          <t>Line 67 (Alberta Clipper) is drawn separately, so this segment is drawn at 3.2M less 0.8M. Enbridge does not publish a figure for this segment on its own</t>
        </is>
      </c>
      <c r="L25" s="2" t="inlineStr">
        <is>
          <t>Yes</t>
        </is>
      </c>
      <c r="M25" s="2" t="n">
        <v>1</v>
      </c>
    </row>
    <row r="26">
      <c r="A26" s="6" t="inlineStr">
        <is>
          <t>Crude oil</t>
        </is>
      </c>
      <c r="B26" s="6" t="inlineStr">
        <is>
          <t>Enbridge Line 5</t>
        </is>
      </c>
      <c r="C26" s="6" t="inlineStr">
        <is>
          <t>Superior, WI to Sarnia, ON via Michigan</t>
        </is>
      </c>
      <c r="D26" s="7" t="n">
        <v>540000</v>
      </c>
      <c r="E26" s="6" t="inlineStr">
        <is>
          <t>Capacity</t>
        </is>
      </c>
      <c r="F26" s="6" t="inlineStr">
        <is>
          <t>2026</t>
        </is>
      </c>
      <c r="G26" s="6" t="inlineStr">
        <is>
          <t>Company website</t>
        </is>
      </c>
      <c r="H26" s="6" t="inlineStr">
        <is>
          <t>Enbridge: What is Line 5?</t>
        </is>
      </c>
      <c r="I26" s="8" t="inlineStr">
        <is>
          <t>https://www.enbridge.com/projects-and-infrastructure/public-awareness/line-5-answering-your-questions/what-is-line-5</t>
        </is>
      </c>
      <c r="J26" s="6" t="inlineStr">
        <is>
          <t>transports up to 540,000 barrels per day (bpd) of light crude oil, light synthetic crude, and natural gas liquids</t>
        </is>
      </c>
      <c r="K26" s="6" t="inlineStr"/>
      <c r="L26" s="6" t="inlineStr">
        <is>
          <t>Yes</t>
        </is>
      </c>
      <c r="M26" s="6" t="n">
        <v>1</v>
      </c>
    </row>
    <row r="27">
      <c r="A27" s="2" t="inlineStr">
        <is>
          <t>Crude oil</t>
        </is>
      </c>
      <c r="B27" s="2" t="inlineStr">
        <is>
          <t>Enbridge Alberta Clipper (Line 67)</t>
        </is>
      </c>
      <c r="C27" s="2" t="inlineStr">
        <is>
          <t>Hardisty, AB to Superior, WI</t>
        </is>
      </c>
      <c r="D27" s="9" t="n">
        <v>800000</v>
      </c>
      <c r="E27" s="2" t="inlineStr">
        <is>
          <t>Capacity</t>
        </is>
      </c>
      <c r="F27" s="2" t="inlineStr">
        <is>
          <t>2017</t>
        </is>
      </c>
      <c r="G27" s="2" t="inlineStr">
        <is>
          <t>Official (EIA)</t>
        </is>
      </c>
      <c r="H27" s="2" t="inlineStr">
        <is>
          <t>EIA, Liquids pipeline projects database (IDs 83 and 128)</t>
        </is>
      </c>
      <c r="I27" s="10" t="inlineStr">
        <is>
          <t>https://www.eia.gov/petroleum/xls/EIA_LiqPipProject.xlsx</t>
        </is>
      </c>
      <c r="J27" s="2" t="inlineStr">
        <is>
          <t>Upgrading of pumps brought U.S. capacity up from 570,000 b/d to 800,000 b/d</t>
        </is>
      </c>
      <c r="K27" s="2" t="inlineStr"/>
      <c r="L27" s="2" t="inlineStr">
        <is>
          <t>Yes</t>
        </is>
      </c>
      <c r="M27" s="2" t="n">
        <v>1</v>
      </c>
    </row>
    <row r="28">
      <c r="A28" s="6" t="inlineStr">
        <is>
          <t>Crude oil</t>
        </is>
      </c>
      <c r="B28" s="6" t="inlineStr">
        <is>
          <t>Enbridge Southern Access (Line 61)</t>
        </is>
      </c>
      <c r="C28" s="6" t="inlineStr">
        <is>
          <t>Superior, WI to Flanagan, IL</t>
        </is>
      </c>
      <c r="D28" s="7" t="n">
        <v>1200000</v>
      </c>
      <c r="E28" s="6" t="inlineStr">
        <is>
          <t>Capacity</t>
        </is>
      </c>
      <c r="F28" s="6" t="inlineStr">
        <is>
          <t>2021</t>
        </is>
      </c>
      <c r="G28" s="6" t="inlineStr">
        <is>
          <t>Official (EIA)</t>
        </is>
      </c>
      <c r="H28" s="6" t="inlineStr">
        <is>
          <t>EIA, Liquids pipeline projects database (ID 199)</t>
        </is>
      </c>
      <c r="I28" s="8" t="inlineStr">
        <is>
          <t>https://www.eia.gov/petroleum/xls/EIA_LiqPipProject.xlsx</t>
        </is>
      </c>
      <c r="J28" s="6" t="inlineStr">
        <is>
          <t>Capacity increased from 950,000 b/d to 1,200,000 b/d.</t>
        </is>
      </c>
      <c r="K28" s="6" t="inlineStr"/>
      <c r="L28" s="6" t="inlineStr">
        <is>
          <t>Yes</t>
        </is>
      </c>
      <c r="M28" s="6" t="n">
        <v>1</v>
      </c>
    </row>
    <row r="29">
      <c r="A29" s="2" t="inlineStr">
        <is>
          <t>Crude oil</t>
        </is>
      </c>
      <c r="B29" s="2" t="inlineStr">
        <is>
          <t>Spearhead Pipeline</t>
        </is>
      </c>
      <c r="C29" s="2" t="inlineStr">
        <is>
          <t>Flanagan, IL to Cushing, OK</t>
        </is>
      </c>
      <c r="D29" s="9" t="n">
        <v>193000</v>
      </c>
      <c r="E29" s="2" t="inlineStr">
        <is>
          <t>Capacity</t>
        </is>
      </c>
      <c r="F29" s="2" t="inlineStr">
        <is>
          <t>2025</t>
        </is>
      </c>
      <c r="G29" s="2" t="inlineStr">
        <is>
          <t>Company SEC filing</t>
        </is>
      </c>
      <c r="H29" s="2" t="inlineStr">
        <is>
          <t>Enbridge Inc., Form 10-K for 2025</t>
        </is>
      </c>
      <c r="I29" s="10" t="inlineStr">
        <is>
          <t>https://www.sec.gov/Archives/edgar/data/895728/000119312526049810/enb-20251231.htm</t>
        </is>
      </c>
      <c r="J29" s="2" t="inlineStr">
        <is>
          <t>The Spearhead Pipeline has a capacity of approximately 193 kbpd.</t>
        </is>
      </c>
      <c r="K29" s="2" t="inlineStr"/>
      <c r="L29" s="2" t="inlineStr">
        <is>
          <t>Yes</t>
        </is>
      </c>
      <c r="M29" s="2" t="n">
        <v>1</v>
      </c>
    </row>
    <row r="30">
      <c r="A30" s="6" t="inlineStr">
        <is>
          <t>Crude oil</t>
        </is>
      </c>
      <c r="B30" s="6" t="inlineStr">
        <is>
          <t>Ozark Pipeline (Midcontinent)</t>
        </is>
      </c>
      <c r="C30" s="6" t="inlineStr">
        <is>
          <t>Cushing, OK to Wood River, IL</t>
        </is>
      </c>
      <c r="D30" s="7" t="n">
        <v>360000</v>
      </c>
      <c r="E30" s="6" t="inlineStr">
        <is>
          <t>Capacity</t>
        </is>
      </c>
      <c r="F30" s="6" t="inlineStr">
        <is>
          <t>2018</t>
        </is>
      </c>
      <c r="G30" s="6" t="inlineStr">
        <is>
          <t>Official (EIA)</t>
        </is>
      </c>
      <c r="H30" s="6" t="inlineStr">
        <is>
          <t>EIA, Liquids pipeline projects database (ID 138)</t>
        </is>
      </c>
      <c r="I30" s="8" t="inlineStr">
        <is>
          <t>https://www.eia.gov/petroleum/xls/EIA_LiqPipProject.xlsx</t>
        </is>
      </c>
      <c r="J30" s="6" t="inlineStr">
        <is>
          <t>Capacity expanded from about 230,000 b/d to 360,000 b/d.</t>
        </is>
      </c>
      <c r="K30" s="6" t="inlineStr"/>
      <c r="L30" s="6" t="inlineStr">
        <is>
          <t>Yes</t>
        </is>
      </c>
      <c r="M30" s="6" t="n">
        <v>1</v>
      </c>
    </row>
    <row r="31">
      <c r="A31" s="2" t="inlineStr">
        <is>
          <t>Crude oil</t>
        </is>
      </c>
      <c r="B31" s="2" t="inlineStr">
        <is>
          <t>Express Pipeline</t>
        </is>
      </c>
      <c r="C31" s="2" t="inlineStr">
        <is>
          <t>Hardisty, AB to Casper, WY</t>
        </is>
      </c>
      <c r="D31" s="9" t="n">
        <v>310000</v>
      </c>
      <c r="E31" s="2" t="inlineStr">
        <is>
          <t>Capacity</t>
        </is>
      </c>
      <c r="F31" s="2" t="inlineStr">
        <is>
          <t>2025</t>
        </is>
      </c>
      <c r="G31" s="2" t="inlineStr">
        <is>
          <t>Company SEC filing</t>
        </is>
      </c>
      <c r="H31" s="2" t="inlineStr">
        <is>
          <t>Enbridge Inc., Form 10-K for 2025</t>
        </is>
      </c>
      <c r="I31" s="10" t="inlineStr">
        <is>
          <t>https://www.sec.gov/Archives/edgar/data/895728/000119312526049810/enb-20251231.htm</t>
        </is>
      </c>
      <c r="J31" s="2" t="inlineStr">
        <is>
          <t>The 310 kbpd Express Pipeline carries crude oil to US refining markets in the Rocky Mountains area</t>
        </is>
      </c>
      <c r="K31" s="2" t="inlineStr"/>
      <c r="L31" s="2" t="inlineStr">
        <is>
          <t>Yes</t>
        </is>
      </c>
      <c r="M31" s="2" t="n">
        <v>1</v>
      </c>
    </row>
    <row r="32">
      <c r="A32" s="6" t="inlineStr">
        <is>
          <t>Crude oil</t>
        </is>
      </c>
      <c r="B32" s="6" t="inlineStr">
        <is>
          <t>Platte Pipeline</t>
        </is>
      </c>
      <c r="C32" s="6" t="inlineStr">
        <is>
          <t>Casper, WY to Wood River, IL</t>
        </is>
      </c>
      <c r="D32" s="7" t="n">
        <v>145000</v>
      </c>
      <c r="E32" s="6" t="inlineStr">
        <is>
          <t>Capacity</t>
        </is>
      </c>
      <c r="F32" s="6" t="inlineStr">
        <is>
          <t>2025</t>
        </is>
      </c>
      <c r="G32" s="6" t="inlineStr">
        <is>
          <t>Company SEC filing</t>
        </is>
      </c>
      <c r="H32" s="6" t="inlineStr">
        <is>
          <t>Enbridge Inc., Form 10-K for 2025</t>
        </is>
      </c>
      <c r="I32" s="8" t="inlineStr">
        <is>
          <t>https://www.sec.gov/Archives/edgar/data/895728/000119312526049810/enb-20251231.htm</t>
        </is>
      </c>
      <c r="J32" s="6" t="inlineStr">
        <is>
          <t>The 145 to 164 kbpd Platte Pipeline</t>
        </is>
      </c>
      <c r="K32" s="6" t="inlineStr">
        <is>
          <t>164k b/d on the first segment (Casper to Guernsey); 145k b/d beyond</t>
        </is>
      </c>
      <c r="L32" s="6" t="inlineStr">
        <is>
          <t>Yes</t>
        </is>
      </c>
      <c r="M32" s="6" t="n">
        <v>1</v>
      </c>
    </row>
    <row r="33">
      <c r="A33" s="2" t="inlineStr">
        <is>
          <t>Crude oil</t>
        </is>
      </c>
      <c r="B33" s="2" t="inlineStr">
        <is>
          <t>Keystone Pipeline, Hardisty to Steele City</t>
        </is>
      </c>
      <c r="C33" s="2" t="inlineStr">
        <is>
          <t>Hardisty, AB to Steele City, NE</t>
        </is>
      </c>
      <c r="D33" s="9" t="n">
        <v>591000</v>
      </c>
      <c r="E33" s="2" t="inlineStr">
        <is>
          <t>Capacity</t>
        </is>
      </c>
      <c r="F33" s="2" t="inlineStr">
        <is>
          <t>2011</t>
        </is>
      </c>
      <c r="G33" s="2" t="inlineStr">
        <is>
          <t>Official (EIA)</t>
        </is>
      </c>
      <c r="H33" s="2" t="inlineStr">
        <is>
          <t>EIA, Liquids pipeline projects database (ID 3)</t>
        </is>
      </c>
      <c r="I33" s="10" t="inlineStr">
        <is>
          <t>https://www.eia.gov/petroleum/xls/EIA_LiqPipProject.xlsx</t>
        </is>
      </c>
      <c r="J33" s="2" t="inlineStr">
        <is>
          <t>brought capacity of the entire system up to 591,000 b/d</t>
        </is>
      </c>
      <c r="K33" s="2" t="inlineStr">
        <is>
          <t>Now owned by South Bow. Later optimisations are reported to have raised it to about 622,000 b/d (S&amp;P Global, July 2022). Legs beyond Steele City to Patoka and Cushing are drawn thin: their split is not published</t>
        </is>
      </c>
      <c r="L33" s="2" t="inlineStr">
        <is>
          <t>Yes</t>
        </is>
      </c>
      <c r="M33" s="2" t="n">
        <v>2</v>
      </c>
    </row>
    <row r="34">
      <c r="A34" s="6" t="inlineStr">
        <is>
          <t>Crude oil</t>
        </is>
      </c>
      <c r="B34" s="6" t="inlineStr">
        <is>
          <t>Keystone Gulf Coast Project</t>
        </is>
      </c>
      <c r="C34" s="6" t="inlineStr">
        <is>
          <t>Cushing, OK to Port Arthur, TX</t>
        </is>
      </c>
      <c r="D34" s="7" t="n">
        <v>700000</v>
      </c>
      <c r="E34" s="6" t="inlineStr">
        <is>
          <t>Capacity</t>
        </is>
      </c>
      <c r="F34" s="6" t="inlineStr">
        <is>
          <t>2014</t>
        </is>
      </c>
      <c r="G34" s="6" t="inlineStr">
        <is>
          <t>Official (EIA)</t>
        </is>
      </c>
      <c r="H34" s="6" t="inlineStr">
        <is>
          <t>EIA, Liquids pipeline projects database (ID 45)</t>
        </is>
      </c>
      <c r="I34" s="8" t="inlineStr">
        <is>
          <t>https://www.eia.gov/petroleum/xls/EIA_LiqPipProject.xlsx</t>
        </is>
      </c>
      <c r="J34" s="6" t="inlineStr">
        <is>
          <t>Extension of Keystone Pipeline that goes from Cushing, Oklahoma, to refineries in Port Arthur, Texas. Expandable to 830,000 b/d.</t>
        </is>
      </c>
      <c r="K34" s="6" t="inlineStr"/>
      <c r="L34" s="6" t="inlineStr">
        <is>
          <t>Yes</t>
        </is>
      </c>
      <c r="M34" s="6" t="n">
        <v>1</v>
      </c>
    </row>
    <row r="35">
      <c r="A35" s="2" t="inlineStr">
        <is>
          <t>Crude oil</t>
        </is>
      </c>
      <c r="B35" s="2" t="inlineStr">
        <is>
          <t>Dakota Access Pipeline</t>
        </is>
      </c>
      <c r="C35" s="2" t="inlineStr">
        <is>
          <t>Bakken, ND to Patoka, IL</t>
        </is>
      </c>
      <c r="D35" s="9" t="n">
        <v>750000</v>
      </c>
      <c r="E35" s="2" t="inlineStr">
        <is>
          <t>Capacity</t>
        </is>
      </c>
      <c r="F35" s="2" t="inlineStr">
        <is>
          <t>2025</t>
        </is>
      </c>
      <c r="G35" s="2" t="inlineStr">
        <is>
          <t>Company SEC filing</t>
        </is>
      </c>
      <c r="H35" s="2" t="inlineStr">
        <is>
          <t>Enbridge Inc., Form 10-K for 2025 (Bakken Pipeline System)</t>
        </is>
      </c>
      <c r="I35" s="10" t="inlineStr">
        <is>
          <t>https://www.sec.gov/Archives/edgar/data/895728/000119312526049810/enb-20251231.htm</t>
        </is>
      </c>
      <c r="J35" s="2" t="inlineStr">
        <is>
          <t>The Bakken Pipeline System consists of the Dakota Access Pipeline ... and the Energy Transfer Crude Oil Pipeline ... Current capacity is approximately 750 kbpd of crude oil</t>
        </is>
      </c>
      <c r="K35" s="2" t="inlineStr"/>
      <c r="L35" s="2" t="inlineStr">
        <is>
          <t>Yes</t>
        </is>
      </c>
      <c r="M35" s="2" t="n">
        <v>1</v>
      </c>
    </row>
    <row r="36">
      <c r="A36" s="6" t="inlineStr">
        <is>
          <t>Crude oil</t>
        </is>
      </c>
      <c r="B36" s="6" t="inlineStr">
        <is>
          <t>Energy Transfer Crude Oil Pipeline (ETCO)</t>
        </is>
      </c>
      <c r="C36" s="6" t="inlineStr">
        <is>
          <t>Patoka, IL to Nederland, TX</t>
        </is>
      </c>
      <c r="D36" s="7" t="n">
        <v>750000</v>
      </c>
      <c r="E36" s="6" t="inlineStr">
        <is>
          <t>Capacity</t>
        </is>
      </c>
      <c r="F36" s="6" t="inlineStr">
        <is>
          <t>2025</t>
        </is>
      </c>
      <c r="G36" s="6" t="inlineStr">
        <is>
          <t>Company SEC filing</t>
        </is>
      </c>
      <c r="H36" s="6" t="inlineStr">
        <is>
          <t>Enbridge Inc., Form 10-K for 2025 (Bakken Pipeline System)</t>
        </is>
      </c>
      <c r="I36" s="8" t="inlineStr">
        <is>
          <t>https://www.sec.gov/Archives/edgar/data/895728/000119312526049810/enb-20251231.htm</t>
        </is>
      </c>
      <c r="J36" s="6" t="inlineStr">
        <is>
          <t>Current capacity is approximately 750 kbpd of crude oil</t>
        </is>
      </c>
      <c r="K36" s="6" t="inlineStr">
        <is>
          <t>Same system capacity as Dakota Access</t>
        </is>
      </c>
      <c r="L36" s="6" t="inlineStr">
        <is>
          <t>Yes</t>
        </is>
      </c>
      <c r="M36" s="6" t="n">
        <v>1</v>
      </c>
    </row>
    <row r="37">
      <c r="A37" s="2" t="inlineStr">
        <is>
          <t>Crude oil</t>
        </is>
      </c>
      <c r="B37" s="2" t="inlineStr">
        <is>
          <t>Pony Express Pipeline</t>
        </is>
      </c>
      <c r="C37" s="2" t="inlineStr">
        <is>
          <t>Guernsey, WY to Cushing, OK</t>
        </is>
      </c>
      <c r="D37" s="9" t="n">
        <v>400000</v>
      </c>
      <c r="E37" s="2" t="inlineStr">
        <is>
          <t>Capacity</t>
        </is>
      </c>
      <c r="F37" s="2" t="inlineStr">
        <is>
          <t>2018</t>
        </is>
      </c>
      <c r="G37" s="2" t="inlineStr">
        <is>
          <t>Official (EIA)</t>
        </is>
      </c>
      <c r="H37" s="2" t="inlineStr">
        <is>
          <t>EIA, Liquids pipeline projects database (ID 145)</t>
        </is>
      </c>
      <c r="I37" s="10" t="inlineStr">
        <is>
          <t>https://www.eia.gov/petroleum/xls/EIA_LiqPipProject.xlsx</t>
        </is>
      </c>
      <c r="J37" s="2" t="inlineStr">
        <is>
          <t>Pump enhancements expand capacity from 320,000 b/d to 400,000 b/d</t>
        </is>
      </c>
      <c r="K37" s="2" t="inlineStr"/>
      <c r="L37" s="2" t="inlineStr">
        <is>
          <t>Yes</t>
        </is>
      </c>
      <c r="M37" s="2" t="n">
        <v>2</v>
      </c>
    </row>
    <row r="38">
      <c r="A38" s="6" t="inlineStr">
        <is>
          <t>Crude oil</t>
        </is>
      </c>
      <c r="B38" s="6" t="inlineStr">
        <is>
          <t>Saddlehorn Pipeline</t>
        </is>
      </c>
      <c r="C38" s="6" t="inlineStr">
        <is>
          <t>Platteville, CO to Cushing, OK</t>
        </is>
      </c>
      <c r="D38" s="7" t="n">
        <v>290000</v>
      </c>
      <c r="E38" s="6" t="inlineStr">
        <is>
          <t>Capacity</t>
        </is>
      </c>
      <c r="F38" s="6" t="inlineStr">
        <is>
          <t>2025</t>
        </is>
      </c>
      <c r="G38" s="6" t="inlineStr">
        <is>
          <t>Company SEC filing</t>
        </is>
      </c>
      <c r="H38" s="6" t="inlineStr">
        <is>
          <t>Plains All American, Form 10-K for 2025</t>
        </is>
      </c>
      <c r="I38" s="8" t="inlineStr">
        <is>
          <t>https://www.sec.gov/Archives/edgar/data/1070423/000107042326000014/paa-20251231.htm</t>
        </is>
      </c>
      <c r="J38" s="6" t="inlineStr">
        <is>
          <t>owns approximately 290,000 barrels per day of capacity in the Saddlehorn Pipeline</t>
        </is>
      </c>
      <c r="K38" s="6" t="inlineStr">
        <is>
          <t>The EIA route combines Saddlehorn and Grand Mesa; drawn at Saddlehorn's capacity</t>
        </is>
      </c>
      <c r="L38" s="6" t="inlineStr">
        <is>
          <t>Yes</t>
        </is>
      </c>
      <c r="M38" s="6" t="n">
        <v>1</v>
      </c>
    </row>
    <row r="39">
      <c r="A39" s="2" t="inlineStr">
        <is>
          <t>Crude oil</t>
        </is>
      </c>
      <c r="B39" s="2" t="inlineStr">
        <is>
          <t>Seaway Pipeline</t>
        </is>
      </c>
      <c r="C39" s="2" t="inlineStr">
        <is>
          <t>Cushing, OK to Freeport/Houston, TX</t>
        </is>
      </c>
      <c r="D39" s="9" t="n">
        <v>950000</v>
      </c>
      <c r="E39" s="2" t="inlineStr">
        <is>
          <t>Capacity</t>
        </is>
      </c>
      <c r="F39" s="2" t="inlineStr">
        <is>
          <t>2025</t>
        </is>
      </c>
      <c r="G39" s="2" t="inlineStr">
        <is>
          <t>Company SEC filing</t>
        </is>
      </c>
      <c r="H39" s="2" t="inlineStr">
        <is>
          <t>Enterprise Products Partners, Form 10-K for 2025</t>
        </is>
      </c>
      <c r="I39" s="10" t="inlineStr">
        <is>
          <t>https://www.sec.gov/Archives/edgar/data/1061219/000106121926000006/epd-20251231.htm</t>
        </is>
      </c>
      <c r="J39" s="2" t="inlineStr">
        <is>
          <t>The aggregate transportation capacity of the Longhaul System is approximately 950 MBPD</t>
        </is>
      </c>
      <c r="K39" s="2" t="inlineStr"/>
      <c r="L39" s="2" t="inlineStr">
        <is>
          <t>Yes</t>
        </is>
      </c>
      <c r="M39" s="2" t="n">
        <v>1</v>
      </c>
    </row>
    <row r="40">
      <c r="A40" s="6" t="inlineStr">
        <is>
          <t>Crude oil</t>
        </is>
      </c>
      <c r="B40" s="6" t="inlineStr">
        <is>
          <t>Gray Oak Pipeline</t>
        </is>
      </c>
      <c r="C40" s="6" t="inlineStr">
        <is>
          <t>Permian Basin to Corpus Christi and Freeport</t>
        </is>
      </c>
      <c r="D40" s="7" t="n">
        <v>900000</v>
      </c>
      <c r="E40" s="6" t="inlineStr">
        <is>
          <t>Capacity</t>
        </is>
      </c>
      <c r="F40" s="6" t="inlineStr">
        <is>
          <t>2025</t>
        </is>
      </c>
      <c r="G40" s="6" t="inlineStr">
        <is>
          <t>Company SEC filing</t>
        </is>
      </c>
      <c r="H40" s="6" t="inlineStr">
        <is>
          <t>Phillips 66, Form 10-K for 2025, pipeline table</t>
        </is>
      </c>
      <c r="I40" s="8" t="inlineStr">
        <is>
          <t>https://www.sec.gov/Archives/edgar/data/1534701/000153470126000006/psx-20251231.htm</t>
        </is>
      </c>
      <c r="J40" s="6" t="inlineStr">
        <is>
          <t>Gray Oak Pipeline Texas 7 862 900</t>
        </is>
      </c>
      <c r="K40" s="6" t="inlineStr"/>
      <c r="L40" s="6" t="inlineStr">
        <is>
          <t>Yes</t>
        </is>
      </c>
      <c r="M40" s="6" t="n">
        <v>3</v>
      </c>
    </row>
    <row r="41">
      <c r="A41" s="2" t="inlineStr">
        <is>
          <t>Crude oil</t>
        </is>
      </c>
      <c r="B41" s="2" t="inlineStr">
        <is>
          <t>Cactus Pipeline</t>
        </is>
      </c>
      <c r="C41" s="2" t="inlineStr">
        <is>
          <t>McCamey, TX to Gardendale/Corpus Christi, TX</t>
        </is>
      </c>
      <c r="D41" s="9" t="n">
        <v>390000</v>
      </c>
      <c r="E41" s="2" t="inlineStr">
        <is>
          <t>Capacity</t>
        </is>
      </c>
      <c r="F41" s="2" t="inlineStr">
        <is>
          <t>2025</t>
        </is>
      </c>
      <c r="G41" s="2" t="inlineStr">
        <is>
          <t>Company SEC filing</t>
        </is>
      </c>
      <c r="H41" s="2" t="inlineStr">
        <is>
          <t>Plains All American, Form 10-K for 2025</t>
        </is>
      </c>
      <c r="I41" s="10" t="inlineStr">
        <is>
          <t>https://www.sec.gov/Archives/edgar/data/1070423/000107042326000014/paa-20251231.htm</t>
        </is>
      </c>
      <c r="J41" s="2" t="inlineStr">
        <is>
          <t>the Cactus Pipeline, which has a capacity of 390,000 barrels per day</t>
        </is>
      </c>
      <c r="K41" s="2" t="inlineStr">
        <is>
          <t>Cactus II (Wink to Ingleside, 670,000 b/d per EIA) is not a separate route in the EIA layer</t>
        </is>
      </c>
      <c r="L41" s="2" t="inlineStr">
        <is>
          <t>Yes</t>
        </is>
      </c>
      <c r="M41" s="2" t="n">
        <v>2</v>
      </c>
    </row>
    <row r="42">
      <c r="A42" s="6" t="inlineStr">
        <is>
          <t>Crude oil</t>
        </is>
      </c>
      <c r="B42" s="6" t="inlineStr">
        <is>
          <t>EPIC Crude Pipeline</t>
        </is>
      </c>
      <c r="C42" s="6" t="inlineStr">
        <is>
          <t>Permian Basin to Corpus Christi</t>
        </is>
      </c>
      <c r="D42" s="7" t="n">
        <v>600000</v>
      </c>
      <c r="E42" s="6" t="inlineStr">
        <is>
          <t>Capacity</t>
        </is>
      </c>
      <c r="F42" s="6" t="inlineStr">
        <is>
          <t>2020</t>
        </is>
      </c>
      <c r="G42" s="6" t="inlineStr">
        <is>
          <t>Official (EIA)</t>
        </is>
      </c>
      <c r="H42" s="6" t="inlineStr">
        <is>
          <t>EIA, Liquids pipeline projects database (ID 163)</t>
        </is>
      </c>
      <c r="I42" s="8" t="inlineStr">
        <is>
          <t>https://www.eia.gov/petroleum/xls/EIA_LiqPipProject.xlsx</t>
        </is>
      </c>
      <c r="J42" s="6" t="inlineStr">
        <is>
          <t>Database field Added Capacity: 600,000 b/d (EPIC Crude Pipeline, completed 2020)</t>
        </is>
      </c>
      <c r="K42" s="6" t="inlineStr"/>
      <c r="L42" s="6" t="inlineStr">
        <is>
          <t>Yes</t>
        </is>
      </c>
      <c r="M42" s="6" t="n">
        <v>1</v>
      </c>
    </row>
    <row r="43">
      <c r="A43" s="2" t="inlineStr">
        <is>
          <t>Crude oil</t>
        </is>
      </c>
      <c r="B43" s="2" t="inlineStr">
        <is>
          <t>BridgeTex Pipeline</t>
        </is>
      </c>
      <c r="C43" s="2" t="inlineStr">
        <is>
          <t>Colorado City, TX to Houston, TX</t>
        </is>
      </c>
      <c r="D43" s="9" t="n">
        <v>440000</v>
      </c>
      <c r="E43" s="2" t="inlineStr">
        <is>
          <t>Capacity</t>
        </is>
      </c>
      <c r="F43" s="2" t="inlineStr">
        <is>
          <t>2025</t>
        </is>
      </c>
      <c r="G43" s="2" t="inlineStr">
        <is>
          <t>Company SEC filing</t>
        </is>
      </c>
      <c r="H43" s="2" t="inlineStr">
        <is>
          <t>Plains All American, Form 10-K for 2025</t>
        </is>
      </c>
      <c r="I43" s="10" t="inlineStr">
        <is>
          <t>https://www.sec.gov/Archives/edgar/data/1070423/000107042326000014/paa-20251231.htm</t>
        </is>
      </c>
      <c r="J43" s="2" t="inlineStr">
        <is>
          <t>The BridgeTex pipeline has a capacity of approximately 440,000 barrels per day</t>
        </is>
      </c>
      <c r="K43" s="2" t="inlineStr"/>
      <c r="L43" s="2" t="inlineStr">
        <is>
          <t>Yes</t>
        </is>
      </c>
      <c r="M43" s="2" t="n">
        <v>1</v>
      </c>
    </row>
    <row r="44">
      <c r="A44" s="6" t="inlineStr">
        <is>
          <t>Crude oil</t>
        </is>
      </c>
      <c r="B44" s="6" t="inlineStr">
        <is>
          <t>Longhorn Pipeline</t>
        </is>
      </c>
      <c r="C44" s="6" t="inlineStr">
        <is>
          <t>Crane, TX to Houston, TX</t>
        </is>
      </c>
      <c r="D44" s="7" t="n">
        <v>275000</v>
      </c>
      <c r="E44" s="6" t="inlineStr">
        <is>
          <t>Capacity</t>
        </is>
      </c>
      <c r="F44" s="6" t="inlineStr">
        <is>
          <t>2014</t>
        </is>
      </c>
      <c r="G44" s="6" t="inlineStr">
        <is>
          <t>Official (EIA)</t>
        </is>
      </c>
      <c r="H44" s="6" t="inlineStr">
        <is>
          <t>EIA, Liquids pipeline projects database (ID 69)</t>
        </is>
      </c>
      <c r="I44" s="8" t="inlineStr">
        <is>
          <t>https://www.eia.gov/petroleum/xls/EIA_LiqPipProject.xlsx</t>
        </is>
      </c>
      <c r="J44" s="6" t="inlineStr">
        <is>
          <t>Capacity increased from 225,000 b/d to 275,000 b/d.</t>
        </is>
      </c>
      <c r="K44" s="6" t="inlineStr"/>
      <c r="L44" s="6" t="inlineStr">
        <is>
          <t>Yes</t>
        </is>
      </c>
      <c r="M44" s="6" t="n">
        <v>1</v>
      </c>
    </row>
    <row r="45">
      <c r="A45" s="2" t="inlineStr">
        <is>
          <t>Crude oil</t>
        </is>
      </c>
      <c r="B45" s="2" t="inlineStr">
        <is>
          <t>Basin Pipeline</t>
        </is>
      </c>
      <c r="C45" s="2" t="inlineStr">
        <is>
          <t>Wink/Midland, TX to Cushing, OK</t>
        </is>
      </c>
      <c r="D45" s="9" t="n">
        <v>600000</v>
      </c>
      <c r="E45" s="2" t="inlineStr">
        <is>
          <t>Capacity (Wink to Midland segment)</t>
        </is>
      </c>
      <c r="F45" s="2" t="inlineStr">
        <is>
          <t>2015</t>
        </is>
      </c>
      <c r="G45" s="2" t="inlineStr">
        <is>
          <t>Official (EIA)</t>
        </is>
      </c>
      <c r="H45" s="2" t="inlineStr">
        <is>
          <t>EIA, Liquids pipeline projects database (ID 90)</t>
        </is>
      </c>
      <c r="I45" s="10" t="inlineStr">
        <is>
          <t>https://www.eia.gov/petroleum/xls/EIA_LiqPipProject.xlsx</t>
        </is>
      </c>
      <c r="J45" s="2" t="inlineStr">
        <is>
          <t>bring total capacity from 240,000 b/d to 600,000 b/d</t>
        </is>
      </c>
      <c r="K45" s="2" t="inlineStr">
        <is>
          <t>This figure is for the Wink to Midland segment; the segment north to Cushing is smaller</t>
        </is>
      </c>
      <c r="L45" s="2" t="inlineStr">
        <is>
          <t>Yes</t>
        </is>
      </c>
      <c r="M45" s="2" t="n">
        <v>2</v>
      </c>
    </row>
    <row r="46">
      <c r="A46" s="6" t="inlineStr">
        <is>
          <t>Crude oil</t>
        </is>
      </c>
      <c r="B46" s="6" t="inlineStr">
        <is>
          <t>Midland-to-ECHO 1 (Midland to Sealy)</t>
        </is>
      </c>
      <c r="C46" s="6" t="inlineStr">
        <is>
          <t>Midland, TX to Sealy/Houston, TX</t>
        </is>
      </c>
      <c r="D46" s="7" t="n">
        <v>620000</v>
      </c>
      <c r="E46" s="6" t="inlineStr">
        <is>
          <t>Capacity</t>
        </is>
      </c>
      <c r="F46" s="6" t="inlineStr">
        <is>
          <t>2025</t>
        </is>
      </c>
      <c r="G46" s="6" t="inlineStr">
        <is>
          <t>Company SEC filing</t>
        </is>
      </c>
      <c r="H46" s="6" t="inlineStr">
        <is>
          <t>Enterprise Products Partners, Form 10-K for 2025</t>
        </is>
      </c>
      <c r="I46" s="8" t="inlineStr">
        <is>
          <t>https://www.sec.gov/Archives/edgar/data/1061219/000106121926000006/epd-20251231.htm</t>
        </is>
      </c>
      <c r="J46" s="6" t="inlineStr">
        <is>
          <t>The Midland-to-ECHO 1 Pipeline has an approximate maximum transportation capacity of up to 620 MBPD</t>
        </is>
      </c>
      <c r="K46" s="6" t="inlineStr"/>
      <c r="L46" s="6" t="inlineStr">
        <is>
          <t>Yes</t>
        </is>
      </c>
      <c r="M46" s="6" t="n">
        <v>1</v>
      </c>
    </row>
    <row r="47">
      <c r="A47" s="2" t="inlineStr">
        <is>
          <t>Crude oil</t>
        </is>
      </c>
      <c r="B47" s="2" t="inlineStr">
        <is>
          <t>Diamond Pipeline</t>
        </is>
      </c>
      <c r="C47" s="2" t="inlineStr">
        <is>
          <t>Cushing, OK to Memphis, TN</t>
        </is>
      </c>
      <c r="D47" s="9" t="n">
        <v>200000</v>
      </c>
      <c r="E47" s="2" t="inlineStr">
        <is>
          <t>Capacity</t>
        </is>
      </c>
      <c r="F47" s="2" t="inlineStr">
        <is>
          <t>2025</t>
        </is>
      </c>
      <c r="G47" s="2" t="inlineStr">
        <is>
          <t>Company SEC filing</t>
        </is>
      </c>
      <c r="H47" s="2" t="inlineStr">
        <is>
          <t>Plains All American, Form 10-K for 2025</t>
        </is>
      </c>
      <c r="I47" s="10" t="inlineStr">
        <is>
          <t>https://www.sec.gov/Archives/edgar/data/1070423/000107042326000014/paa-20251231.htm</t>
        </is>
      </c>
      <c r="J47" s="2" t="inlineStr">
        <is>
          <t>The Diamond Pipeline has a total capacity of approximately 200,000 barrels per day.</t>
        </is>
      </c>
      <c r="K47" s="2" t="inlineStr"/>
      <c r="L47" s="2" t="inlineStr">
        <is>
          <t>Yes</t>
        </is>
      </c>
      <c r="M47" s="2" t="n">
        <v>1</v>
      </c>
    </row>
    <row r="48">
      <c r="A48" s="6" t="inlineStr">
        <is>
          <t>Crude oil</t>
        </is>
      </c>
      <c r="B48" s="6" t="inlineStr">
        <is>
          <t>Bayou Bridge Pipeline</t>
        </is>
      </c>
      <c r="C48" s="6" t="inlineStr">
        <is>
          <t>Nederland, TX to St. James, LA</t>
        </is>
      </c>
      <c r="D48" s="7" t="n">
        <v>480000</v>
      </c>
      <c r="E48" s="6" t="inlineStr">
        <is>
          <t>Capacity</t>
        </is>
      </c>
      <c r="F48" s="6" t="inlineStr">
        <is>
          <t>2025</t>
        </is>
      </c>
      <c r="G48" s="6" t="inlineStr">
        <is>
          <t>Company SEC filing</t>
        </is>
      </c>
      <c r="H48" s="6" t="inlineStr">
        <is>
          <t>Phillips 66, Form 10-K for 2025, pipeline table</t>
        </is>
      </c>
      <c r="I48" s="8" t="inlineStr">
        <is>
          <t>https://www.sec.gov/Archives/edgar/data/1534701/000153470126000006/psx-20251231.htm</t>
        </is>
      </c>
      <c r="J48" s="6" t="inlineStr">
        <is>
          <t>Bayou Bridge Texas/Louisiana 40 213 480</t>
        </is>
      </c>
      <c r="K48" s="6" t="inlineStr"/>
      <c r="L48" s="6" t="inlineStr">
        <is>
          <t>Yes</t>
        </is>
      </c>
      <c r="M48" s="6" t="n">
        <v>2</v>
      </c>
    </row>
    <row r="49">
      <c r="A49" s="2" t="inlineStr">
        <is>
          <t>Crude oil</t>
        </is>
      </c>
      <c r="B49" s="2" t="inlineStr">
        <is>
          <t>Capline</t>
        </is>
      </c>
      <c r="C49" s="2" t="inlineStr">
        <is>
          <t>Patoka, IL to St. James, LA (flow reversed southbound in 2021)</t>
        </is>
      </c>
      <c r="D49" s="9" t="n">
        <v>300000</v>
      </c>
      <c r="E49" s="2" t="inlineStr">
        <is>
          <t>Initial capacity after reversal</t>
        </is>
      </c>
      <c r="F49" s="2" t="inlineStr">
        <is>
          <t>2021</t>
        </is>
      </c>
      <c r="G49" s="2" t="inlineStr">
        <is>
          <t>Official (EIA)</t>
        </is>
      </c>
      <c r="H49" s="2" t="inlineStr">
        <is>
          <t>EIA, Liquids pipeline projects database (ID 188)</t>
        </is>
      </c>
      <c r="I49" s="10" t="inlineStr">
        <is>
          <t>https://www.eia.gov/petroleum/xls/EIA_LiqPipProject.xlsx</t>
        </is>
      </c>
      <c r="J49" s="2" t="inlineStr">
        <is>
          <t>Reversal of 1,300,000 b/d pipeline so that it flows south. Initial capacity in 2021 Q4 is 300,000 b/d.</t>
        </is>
      </c>
      <c r="K49" s="2" t="inlineStr">
        <is>
          <t>Operated by Marathon since the reversal</t>
        </is>
      </c>
      <c r="L49" s="2" t="inlineStr">
        <is>
          <t>Yes</t>
        </is>
      </c>
      <c r="M49" s="2" t="n">
        <v>1</v>
      </c>
    </row>
    <row r="50">
      <c r="A50" s="6" t="inlineStr">
        <is>
          <t>Crude oil</t>
        </is>
      </c>
      <c r="B50" s="6" t="inlineStr">
        <is>
          <t>Double H Pipeline</t>
        </is>
      </c>
      <c r="C50" s="6" t="inlineStr">
        <is>
          <t>Baker, MT / Bakken to Guernsey, WY</t>
        </is>
      </c>
      <c r="D50" s="7" t="n">
        <v>84000</v>
      </c>
      <c r="E50" s="6" t="inlineStr">
        <is>
          <t>Capacity</t>
        </is>
      </c>
      <c r="F50" s="6" t="inlineStr">
        <is>
          <t>2015</t>
        </is>
      </c>
      <c r="G50" s="6" t="inlineStr">
        <is>
          <t>Official (EIA)</t>
        </is>
      </c>
      <c r="H50" s="6" t="inlineStr">
        <is>
          <t>EIA, Liquids pipeline projects database (ID 72)</t>
        </is>
      </c>
      <c r="I50" s="8" t="inlineStr">
        <is>
          <t>https://www.eia.gov/petroleum/xls/EIA_LiqPipProject.xlsx</t>
        </is>
      </c>
      <c r="J50" s="6" t="inlineStr">
        <is>
          <t>Database field Added Capacity: 84,000 b/d (Double H Pipeline, completed 2015)</t>
        </is>
      </c>
      <c r="K50" s="6" t="inlineStr"/>
      <c r="L50" s="6" t="inlineStr">
        <is>
          <t>Yes</t>
        </is>
      </c>
      <c r="M50" s="6" t="n">
        <v>2</v>
      </c>
    </row>
    <row r="51">
      <c r="A51" s="2" t="inlineStr">
        <is>
          <t>Crude oil</t>
        </is>
      </c>
      <c r="B51" s="2" t="inlineStr">
        <is>
          <t>Glacier Pipeline</t>
        </is>
      </c>
      <c r="C51" s="2" t="inlineStr">
        <is>
          <t>Cut Bank, MT to Billings, MT</t>
        </is>
      </c>
      <c r="D51" s="9" t="n">
        <v>124000</v>
      </c>
      <c r="E51" s="2" t="inlineStr">
        <is>
          <t>Capacity</t>
        </is>
      </c>
      <c r="F51" s="2" t="inlineStr">
        <is>
          <t>2025</t>
        </is>
      </c>
      <c r="G51" s="2" t="inlineStr">
        <is>
          <t>Company SEC filing</t>
        </is>
      </c>
      <c r="H51" s="2" t="inlineStr">
        <is>
          <t>Phillips 66, Form 10-K for 2025, pipeline table</t>
        </is>
      </c>
      <c r="I51" s="10" t="inlineStr">
        <is>
          <t>https://www.sec.gov/Archives/edgar/data/1534701/000153470126000006/psx-20251231.htm</t>
        </is>
      </c>
      <c r="J51" s="2" t="inlineStr">
        <is>
          <t>Glacier Montana 79 800 124</t>
        </is>
      </c>
      <c r="K51" s="2" t="inlineStr"/>
      <c r="L51" s="2" t="inlineStr">
        <is>
          <t>Yes</t>
        </is>
      </c>
      <c r="M51" s="2" t="n">
        <v>1</v>
      </c>
    </row>
    <row r="52">
      <c r="A52" s="6" t="inlineStr">
        <is>
          <t>Crude oil</t>
        </is>
      </c>
      <c r="B52" s="6" t="inlineStr">
        <is>
          <t>Mid-Valley Pipeline</t>
        </is>
      </c>
      <c r="C52" s="6" t="inlineStr">
        <is>
          <t>Longview, TX to Samaria, MI</t>
        </is>
      </c>
      <c r="D52" s="7" t="n">
        <v>240000</v>
      </c>
      <c r="E52" s="6" t="inlineStr">
        <is>
          <t>Capacity (press-reported)</t>
        </is>
      </c>
      <c r="F52" s="6" t="inlineStr"/>
      <c r="G52" s="6" t="inlineStr">
        <is>
          <t>Press</t>
        </is>
      </c>
      <c r="H52" s="6" t="inlineStr">
        <is>
          <t>Global Energy Monitor</t>
        </is>
      </c>
      <c r="I52" s="8" t="inlineStr">
        <is>
          <t>https://www.gem.wiki/Mid-Valley_Oil_Pipeline</t>
        </is>
      </c>
      <c r="J52" s="6" t="inlineStr"/>
      <c r="K52" s="6" t="inlineStr">
        <is>
          <t>Not confirmed from an operator or official document; drawn at the reported figure</t>
        </is>
      </c>
      <c r="L52" s="6" t="inlineStr">
        <is>
          <t>Yes</t>
        </is>
      </c>
      <c r="M52" s="6" t="n">
        <v>3</v>
      </c>
    </row>
    <row r="53">
      <c r="A53" s="2" t="inlineStr">
        <is>
          <t>Refined products</t>
        </is>
      </c>
      <c r="B53" s="2" t="inlineStr">
        <is>
          <t>Colonial Line 17 (Atlanta to Bainbridge)</t>
        </is>
      </c>
      <c r="C53" s="2" t="inlineStr">
        <is>
          <t>Atlanta, GA to Bainbridge, GA</t>
        </is>
      </c>
      <c r="D53" s="9" t="n">
        <v>150000</v>
      </c>
      <c r="E53" s="2" t="inlineStr">
        <is>
          <t>Capacity</t>
        </is>
      </c>
      <c r="F53" s="2" t="inlineStr">
        <is>
          <t>2016</t>
        </is>
      </c>
      <c r="G53" s="2" t="inlineStr">
        <is>
          <t>Official (EIA study)</t>
        </is>
      </c>
      <c r="H53" s="2" t="inlineStr">
        <is>
          <t>EIA, East Coast and Gulf Coast Transportation Fuels Markets (prepared by ICF), Feb 2016, Table 19</t>
        </is>
      </c>
      <c r="I53" s="10" t="inlineStr">
        <is>
          <t>https://www.eia.gov/analysis/transportationfuels/padd1n3/pdf/transportation_fuels_padd1n3.pdf</t>
        </is>
      </c>
      <c r="J53" s="2" t="inlineStr">
        <is>
          <t>Line 17 Atlanta, GA Bainbridge, GA 150,000</t>
        </is>
      </c>
      <c r="K53" s="2" t="inlineStr"/>
      <c r="L53" s="2" t="inlineStr">
        <is>
          <t>Yes</t>
        </is>
      </c>
      <c r="M53" s="2" t="n">
        <v>1</v>
      </c>
    </row>
    <row r="54">
      <c r="A54" s="6" t="inlineStr">
        <is>
          <t>Refined products</t>
        </is>
      </c>
      <c r="B54" s="6" t="inlineStr">
        <is>
          <t>Central Florida Pipeline (16-inch)</t>
        </is>
      </c>
      <c r="C54" s="6" t="inlineStr">
        <is>
          <t>Tampa, FL to Orlando, FL</t>
        </is>
      </c>
      <c r="D54" s="7" t="n">
        <v>115000</v>
      </c>
      <c r="E54" s="6" t="inlineStr">
        <is>
          <t>Capacity</t>
        </is>
      </c>
      <c r="F54" s="6" t="inlineStr">
        <is>
          <t>2016</t>
        </is>
      </c>
      <c r="G54" s="6" t="inlineStr">
        <is>
          <t>Official (EIA study)</t>
        </is>
      </c>
      <c r="H54" s="6" t="inlineStr">
        <is>
          <t>EIA, East Coast and Gulf Coast Transportation Fuels Markets (prepared by ICF), Feb 2016, Table 23</t>
        </is>
      </c>
      <c r="I54" s="8" t="inlineStr">
        <is>
          <t>https://www.eia.gov/analysis/transportationfuels/padd1n3/pdf/transportation_fuels_padd1n3.pdf</t>
        </is>
      </c>
      <c r="J54" s="6" t="inlineStr">
        <is>
          <t>Kinder Morgan Central Florida Pipeline Tampa, FL (16 - inch) Orlando, FL 110 115,000</t>
        </is>
      </c>
      <c r="K54" s="6" t="inlineStr">
        <is>
          <t>The parallel 10-inch line (jet fuel) has no separate figure</t>
        </is>
      </c>
      <c r="L54" s="6" t="inlineStr">
        <is>
          <t>Yes</t>
        </is>
      </c>
      <c r="M54" s="6" t="n">
        <v>1</v>
      </c>
    </row>
    <row r="55">
      <c r="A55" s="2" t="inlineStr">
        <is>
          <t>Refined products</t>
        </is>
      </c>
      <c r="B55" s="2" t="inlineStr">
        <is>
          <t>Parkway Pipeline</t>
        </is>
      </c>
      <c r="C55" s="2" t="inlineStr">
        <is>
          <t>Norco, LA to Collins, MS</t>
        </is>
      </c>
      <c r="D55" s="9" t="n">
        <v>110000</v>
      </c>
      <c r="E55" s="2" t="inlineStr">
        <is>
          <t>Capacity</t>
        </is>
      </c>
      <c r="F55" s="2" t="inlineStr">
        <is>
          <t>2016</t>
        </is>
      </c>
      <c r="G55" s="2" t="inlineStr">
        <is>
          <t>Official (EIA study)</t>
        </is>
      </c>
      <c r="H55" s="2" t="inlineStr">
        <is>
          <t>EIA, East Coast and Gulf Coast Transportation Fuels Markets (prepared by ICF), Feb 2016, Table 33</t>
        </is>
      </c>
      <c r="I55" s="10" t="inlineStr">
        <is>
          <t>https://www.eia.gov/analysis/transportationfuels/padd1n3/pdf/transportation_fuels_padd1n3.pdf</t>
        </is>
      </c>
      <c r="J55" s="2" t="inlineStr">
        <is>
          <t>Parkway Pipeline Norco, LA Collins, MS 141 110,000</t>
        </is>
      </c>
      <c r="K55" s="2" t="inlineStr"/>
      <c r="L55" s="2" t="inlineStr">
        <is>
          <t>Yes</t>
        </is>
      </c>
      <c r="M55" s="2" t="n">
        <v>1</v>
      </c>
    </row>
    <row r="56">
      <c r="A56" s="6" t="inlineStr">
        <is>
          <t>Refined products</t>
        </is>
      </c>
      <c r="B56" s="6" t="inlineStr">
        <is>
          <t>Collins Pipeline</t>
        </is>
      </c>
      <c r="C56" s="6" t="inlineStr">
        <is>
          <t>Meraux, LA to Collins, MS</t>
        </is>
      </c>
      <c r="D56" s="7" t="n">
        <v>130000</v>
      </c>
      <c r="E56" s="6" t="inlineStr">
        <is>
          <t>Capacity</t>
        </is>
      </c>
      <c r="F56" s="6" t="inlineStr">
        <is>
          <t>2016</t>
        </is>
      </c>
      <c r="G56" s="6" t="inlineStr">
        <is>
          <t>Official (EIA study)</t>
        </is>
      </c>
      <c r="H56" s="6" t="inlineStr">
        <is>
          <t>EIA, East Coast and Gulf Coast Transportation Fuels Markets (prepared by ICF), Feb 2016, Table 33</t>
        </is>
      </c>
      <c r="I56" s="8" t="inlineStr">
        <is>
          <t>https://www.eia.gov/analysis/transportationfuels/padd1n3/pdf/transportation_fuels_padd1n3.pdf</t>
        </is>
      </c>
      <c r="J56" s="6" t="inlineStr">
        <is>
          <t>Collins Pipeline Meraux, LA Collins, MS 125 130,000</t>
        </is>
      </c>
      <c r="K56" s="6" t="inlineStr"/>
      <c r="L56" s="6" t="inlineStr">
        <is>
          <t>Yes</t>
        </is>
      </c>
      <c r="M56" s="6" t="n">
        <v>1</v>
      </c>
    </row>
    <row r="57">
      <c r="A57" s="2" t="inlineStr">
        <is>
          <t>Refined products</t>
        </is>
      </c>
      <c r="B57" s="2" t="inlineStr">
        <is>
          <t>Bengal Pipeline</t>
        </is>
      </c>
      <c r="C57" s="2" t="inlineStr">
        <is>
          <t>Garyville and Norco, LA to Baton Rouge, LA</t>
        </is>
      </c>
      <c r="D57" s="9" t="n">
        <v>305000</v>
      </c>
      <c r="E57" s="2" t="inlineStr">
        <is>
          <t>Capacity</t>
        </is>
      </c>
      <c r="F57" s="2" t="inlineStr">
        <is>
          <t>2016</t>
        </is>
      </c>
      <c r="G57" s="2" t="inlineStr">
        <is>
          <t>Official (EIA study)</t>
        </is>
      </c>
      <c r="H57" s="2" t="inlineStr">
        <is>
          <t>EIA, East Coast and Gulf Coast Transportation Fuels Markets (prepared by ICF), Feb 2016, Table 33</t>
        </is>
      </c>
      <c r="I57" s="10" t="inlineStr">
        <is>
          <t>https://www.eia.gov/analysis/transportationfuels/padd1n3/pdf/transportation_fuels_padd1n3.pdf</t>
        </is>
      </c>
      <c r="J57" s="2" t="inlineStr">
        <is>
          <t>Bengal Pipeline Garyville and Norco, LA Baton Rouge, LA 158 305,000</t>
        </is>
      </c>
      <c r="K57" s="2" t="inlineStr">
        <is>
          <t>Second Bengal route (Convent to Baton Rouge, 210,000 b/d) drawn thin</t>
        </is>
      </c>
      <c r="L57" s="2" t="inlineStr">
        <is>
          <t>Yes</t>
        </is>
      </c>
      <c r="M57" s="2" t="n">
        <v>1</v>
      </c>
    </row>
    <row r="58">
      <c r="A58" s="6" t="inlineStr">
        <is>
          <t>Refined products</t>
        </is>
      </c>
      <c r="B58" s="6" t="inlineStr">
        <is>
          <t>TEPPCO Mainline (Enterprise TE Products)</t>
        </is>
      </c>
      <c r="C58" s="6" t="inlineStr">
        <is>
          <t>Beaumont, TX to Seymour, IN</t>
        </is>
      </c>
      <c r="D58" s="7" t="n">
        <v>330000</v>
      </c>
      <c r="E58" s="6" t="inlineStr">
        <is>
          <t>Capacity (EIA estimate)</t>
        </is>
      </c>
      <c r="F58" s="6" t="inlineStr">
        <is>
          <t>2017</t>
        </is>
      </c>
      <c r="G58" s="6" t="inlineStr">
        <is>
          <t>Official (EIA study)</t>
        </is>
      </c>
      <c r="H58" s="6" t="inlineStr">
        <is>
          <t>EIA, PADDs 2 and 4 Transportation Fuels Markets, Jan 2017, Table 20</t>
        </is>
      </c>
      <c r="I58" s="8" t="inlineStr">
        <is>
          <t>https://www.eia.gov/analysis/transportationfuels/padd2n4/pdf/transportation_fuels.pdf</t>
        </is>
      </c>
      <c r="J58" s="6" t="inlineStr">
        <is>
          <t>TEPPCO Mainline (P-2) Beaumont, TX Seymour, IN 921 20 330,000 a [a Estimated]</t>
        </is>
      </c>
      <c r="K58" s="6" t="inlineStr">
        <is>
          <t>EIA notes TEPPCO no longer ships distillates or jet fuel into the Midwest on this line</t>
        </is>
      </c>
      <c r="L58" s="6" t="inlineStr">
        <is>
          <t>Yes</t>
        </is>
      </c>
      <c r="M58" s="6" t="n">
        <v>1</v>
      </c>
    </row>
    <row r="59">
      <c r="A59" s="2" t="inlineStr">
        <is>
          <t>Refined products</t>
        </is>
      </c>
      <c r="B59" s="2" t="inlineStr">
        <is>
          <t>Buckeye, Eagle Point to Macungie</t>
        </is>
      </c>
      <c r="C59" s="2" t="inlineStr">
        <is>
          <t>Eagle Point, NJ to Macungie, PA</t>
        </is>
      </c>
      <c r="D59" s="9" t="n">
        <v>204000</v>
      </c>
      <c r="E59" s="2" t="inlineStr">
        <is>
          <t>Capacity</t>
        </is>
      </c>
      <c r="F59" s="2" t="inlineStr">
        <is>
          <t>2016</t>
        </is>
      </c>
      <c r="G59" s="2" t="inlineStr">
        <is>
          <t>Official (EIA study)</t>
        </is>
      </c>
      <c r="H59" s="2" t="inlineStr">
        <is>
          <t>EIA, East Coast and Gulf Coast Transportation Fuels Markets (prepared by ICF), Feb 2016, Table 17</t>
        </is>
      </c>
      <c r="I59" s="10" t="inlineStr">
        <is>
          <t>https://www.eia.gov/analysis/transportationfuels/padd1n3/pdf/transportation_fuels_padd1n3.pdf</t>
        </is>
      </c>
      <c r="J59" s="2" t="inlineStr">
        <is>
          <t>Eastern System Eagle Point, PA Macungie and Sinking Spring, PA 204,000</t>
        </is>
      </c>
      <c r="K59" s="2" t="inlineStr"/>
      <c r="L59" s="2" t="inlineStr">
        <is>
          <t>Yes</t>
        </is>
      </c>
      <c r="M59" s="2" t="n">
        <v>1</v>
      </c>
    </row>
    <row r="60">
      <c r="A60" s="6" t="inlineStr">
        <is>
          <t>Refined products</t>
        </is>
      </c>
      <c r="B60" s="6" t="inlineStr">
        <is>
          <t>Buckeye, Sinking Spring to Linden and Long Island</t>
        </is>
      </c>
      <c r="C60" s="6" t="inlineStr">
        <is>
          <t>Sinking Spring, PA via Macungie and Linden, NJ to New York</t>
        </is>
      </c>
      <c r="D60" s="7" t="n">
        <v>302000</v>
      </c>
      <c r="E60" s="6" t="inlineStr">
        <is>
          <t>Capacity (Linden to Macungie segment)</t>
        </is>
      </c>
      <c r="F60" s="6" t="inlineStr">
        <is>
          <t>2016</t>
        </is>
      </c>
      <c r="G60" s="6" t="inlineStr">
        <is>
          <t>Official (EIA study)</t>
        </is>
      </c>
      <c r="H60" s="6" t="inlineStr">
        <is>
          <t>EIA, East Coast and Gulf Coast Transportation Fuels Markets (prepared by ICF), Feb 2016, Table 17</t>
        </is>
      </c>
      <c r="I60" s="8" t="inlineStr">
        <is>
          <t>https://www.eia.gov/analysis/transportationfuels/padd1n3/pdf/transportation_fuels_padd1n3.pdf</t>
        </is>
      </c>
      <c r="J60" s="6" t="inlineStr">
        <is>
          <t>Linden, NJ Macungie, PA 302,000</t>
        </is>
      </c>
      <c r="K60" s="6" t="inlineStr">
        <is>
          <t>EIA draws this as one route; the figure is its Linden to Macungie segment. Long Island lines: 120,000 (airports) and 138,500 (Brooklyn, Inwood)</t>
        </is>
      </c>
      <c r="L60" s="6" t="inlineStr">
        <is>
          <t>Yes</t>
        </is>
      </c>
      <c r="M60" s="6" t="n">
        <v>1</v>
      </c>
    </row>
    <row r="61">
      <c r="A61" s="2" t="inlineStr">
        <is>
          <t>Refined products</t>
        </is>
      </c>
      <c r="B61" s="2" t="inlineStr">
        <is>
          <t>Buckeye, Mantua to Coraopolis</t>
        </is>
      </c>
      <c r="C61" s="2" t="inlineStr">
        <is>
          <t>Mantua, OH to Coraopolis, PA</t>
        </is>
      </c>
      <c r="D61" s="9" t="n">
        <v>55200</v>
      </c>
      <c r="E61" s="2" t="inlineStr">
        <is>
          <t>Capacity</t>
        </is>
      </c>
      <c r="F61" s="2" t="inlineStr">
        <is>
          <t>2016</t>
        </is>
      </c>
      <c r="G61" s="2" t="inlineStr">
        <is>
          <t>Official (EIA study)</t>
        </is>
      </c>
      <c r="H61" s="2" t="inlineStr">
        <is>
          <t>EIA, East Coast and Gulf Coast Transportation Fuels Markets (prepared by ICF), Feb 2016, Table 17</t>
        </is>
      </c>
      <c r="I61" s="10" t="inlineStr">
        <is>
          <t>https://www.eia.gov/analysis/transportationfuels/padd1n3/pdf/transportation_fuels_padd1n3.pdf</t>
        </is>
      </c>
      <c r="J61" s="2" t="inlineStr">
        <is>
          <t>Midwest System Mantua, OH Coraopolis, PA 55,200</t>
        </is>
      </c>
      <c r="K61" s="2" t="inlineStr"/>
      <c r="L61" s="2" t="inlineStr">
        <is>
          <t>Yes</t>
        </is>
      </c>
      <c r="M61" s="2" t="n">
        <v>1</v>
      </c>
    </row>
    <row r="62">
      <c r="A62" s="6" t="inlineStr">
        <is>
          <t>Refined products</t>
        </is>
      </c>
      <c r="B62" s="6" t="inlineStr">
        <is>
          <t>Buckeye, New Haven to Springfield</t>
        </is>
      </c>
      <c r="C62" s="6" t="inlineStr">
        <is>
          <t>New Haven, CT to Springfield, MA</t>
        </is>
      </c>
      <c r="D62" s="7" t="n">
        <v>62000</v>
      </c>
      <c r="E62" s="6" t="inlineStr">
        <is>
          <t>Capacity</t>
        </is>
      </c>
      <c r="F62" s="6" t="inlineStr">
        <is>
          <t>2016</t>
        </is>
      </c>
      <c r="G62" s="6" t="inlineStr">
        <is>
          <t>Official (EIA study)</t>
        </is>
      </c>
      <c r="H62" s="6" t="inlineStr">
        <is>
          <t>EIA, East Coast and Gulf Coast Transportation Fuels Markets (prepared by ICF), Feb 2016, Table 12</t>
        </is>
      </c>
      <c r="I62" s="8" t="inlineStr">
        <is>
          <t>https://www.eia.gov/analysis/transportationfuels/padd1n3/pdf/transportation_fuels_padd1n3.pdf</t>
        </is>
      </c>
      <c r="J62" s="6" t="inlineStr">
        <is>
          <t>Buckeye Partners New Haven, CT Springfield, MA 100 62,000</t>
        </is>
      </c>
      <c r="K62" s="6" t="inlineStr"/>
      <c r="L62" s="6" t="inlineStr">
        <is>
          <t>Yes</t>
        </is>
      </c>
      <c r="M62" s="6" t="n">
        <v>1</v>
      </c>
    </row>
    <row r="63">
      <c r="A63" s="2" t="inlineStr">
        <is>
          <t>Refined products</t>
        </is>
      </c>
      <c r="B63" s="2" t="inlineStr">
        <is>
          <t>Buckeye, Portland to Bangor</t>
        </is>
      </c>
      <c r="C63" s="2" t="inlineStr">
        <is>
          <t>Portland, ME to Bangor, ME</t>
        </is>
      </c>
      <c r="D63" s="9" t="n">
        <v>19200</v>
      </c>
      <c r="E63" s="2" t="inlineStr">
        <is>
          <t>Capacity</t>
        </is>
      </c>
      <c r="F63" s="2" t="inlineStr">
        <is>
          <t>2016</t>
        </is>
      </c>
      <c r="G63" s="2" t="inlineStr">
        <is>
          <t>Official (EIA study)</t>
        </is>
      </c>
      <c r="H63" s="2" t="inlineStr">
        <is>
          <t>EIA, East Coast and Gulf Coast Transportation Fuels Markets (prepared by ICF), Feb 2016, Table 12</t>
        </is>
      </c>
      <c r="I63" s="10" t="inlineStr">
        <is>
          <t>https://www.eia.gov/analysis/transportationfuels/padd1n3/pdf/transportation_fuels_padd1n3.pdf</t>
        </is>
      </c>
      <c r="J63" s="2" t="inlineStr">
        <is>
          <t>Portland, ME Bangor, ME 124 19,200</t>
        </is>
      </c>
      <c r="K63" s="2" t="inlineStr"/>
      <c r="L63" s="2" t="inlineStr">
        <is>
          <t>Yes</t>
        </is>
      </c>
      <c r="M63" s="2" t="n">
        <v>1</v>
      </c>
    </row>
    <row r="64">
      <c r="A64" s="6" t="inlineStr">
        <is>
          <t>Refined products</t>
        </is>
      </c>
      <c r="B64" s="6" t="inlineStr">
        <is>
          <t>Buckeye Lower V system</t>
        </is>
      </c>
      <c r="C64" s="6" t="inlineStr">
        <is>
          <t>Dubuque, IA to Kansas City, MO</t>
        </is>
      </c>
      <c r="D64" s="7" t="n">
        <v>41000</v>
      </c>
      <c r="E64" s="6" t="inlineStr">
        <is>
          <t>Throughput (2015)</t>
        </is>
      </c>
      <c r="F64" s="6" t="inlineStr">
        <is>
          <t>2015</t>
        </is>
      </c>
      <c r="G64" s="6" t="inlineStr">
        <is>
          <t>Official (EIA study)</t>
        </is>
      </c>
      <c r="H64" s="6" t="inlineStr">
        <is>
          <t>EIA, PADDs 2 and 4 Transportation Fuels Markets, Jan 2017, Table 35</t>
        </is>
      </c>
      <c r="I64" s="8" t="inlineStr">
        <is>
          <t>https://www.eia.gov/analysis/transportationfuels/padd2n4/pdf/transportation_fuels.pdf</t>
        </is>
      </c>
      <c r="J64" s="6" t="inlineStr">
        <is>
          <t>Buckeye Pipe Line Transportation (Lower V system) Dubuque, IA Kansas City, MO 650 12 41,000</t>
        </is>
      </c>
      <c r="K64" s="6" t="inlineStr">
        <is>
          <t>2015 shipments of transportation fuels</t>
        </is>
      </c>
      <c r="L64" s="6" t="inlineStr">
        <is>
          <t>Yes</t>
        </is>
      </c>
      <c r="M64" s="6" t="n">
        <v>1</v>
      </c>
    </row>
    <row r="65">
      <c r="A65" s="2" t="inlineStr">
        <is>
          <t>Refined products</t>
        </is>
      </c>
      <c r="B65" s="2" t="inlineStr">
        <is>
          <t>Sunoco Harbor Pipeline</t>
        </is>
      </c>
      <c r="C65" s="2" t="inlineStr">
        <is>
          <t>Woodbury, NJ to Linden, NJ</t>
        </is>
      </c>
      <c r="D65" s="9" t="n">
        <v>180000</v>
      </c>
      <c r="E65" s="2" t="inlineStr">
        <is>
          <t>Capacity</t>
        </is>
      </c>
      <c r="F65" s="2" t="inlineStr">
        <is>
          <t>2016</t>
        </is>
      </c>
      <c r="G65" s="2" t="inlineStr">
        <is>
          <t>Official (EIA study)</t>
        </is>
      </c>
      <c r="H65" s="2" t="inlineStr">
        <is>
          <t>EIA, East Coast and Gulf Coast Transportation Fuels Markets (prepared by ICF), Feb 2016, Table 17</t>
        </is>
      </c>
      <c r="I65" s="10" t="inlineStr">
        <is>
          <t>https://www.eia.gov/analysis/transportationfuels/padd1n3/pdf/transportation_fuels_padd1n3.pdf</t>
        </is>
      </c>
      <c r="J65" s="2" t="inlineStr">
        <is>
          <t>Harbor Woodbury, NJ Linden, NJ 180,000</t>
        </is>
      </c>
      <c r="K65" s="2" t="inlineStr"/>
      <c r="L65" s="2" t="inlineStr">
        <is>
          <t>Yes</t>
        </is>
      </c>
      <c r="M65" s="2" t="n">
        <v>1</v>
      </c>
    </row>
    <row r="66">
      <c r="A66" s="6" t="inlineStr">
        <is>
          <t>Refined products</t>
        </is>
      </c>
      <c r="B66" s="6" t="inlineStr">
        <is>
          <t>Sunoco, Twin Oaks to Newark</t>
        </is>
      </c>
      <c r="C66" s="6" t="inlineStr">
        <is>
          <t>Twin Oaks, PA to Newark, NJ</t>
        </is>
      </c>
      <c r="D66" s="7" t="n">
        <v>125000</v>
      </c>
      <c r="E66" s="6" t="inlineStr">
        <is>
          <t>Capacity</t>
        </is>
      </c>
      <c r="F66" s="6" t="inlineStr">
        <is>
          <t>2016</t>
        </is>
      </c>
      <c r="G66" s="6" t="inlineStr">
        <is>
          <t>Official (EIA study)</t>
        </is>
      </c>
      <c r="H66" s="6" t="inlineStr">
        <is>
          <t>EIA, East Coast and Gulf Coast Transportation Fuels Markets (prepared by ICF), Feb 2016, Table 17</t>
        </is>
      </c>
      <c r="I66" s="8" t="inlineStr">
        <is>
          <t>https://www.eia.gov/analysis/transportationfuels/padd1n3/pdf/transportation_fuels_padd1n3.pdf</t>
        </is>
      </c>
      <c r="J66" s="6" t="inlineStr">
        <is>
          <t>Twin Oaks, PA Newark, NJ 125,000</t>
        </is>
      </c>
      <c r="K66" s="6" t="inlineStr"/>
      <c r="L66" s="6" t="inlineStr">
        <is>
          <t>Yes</t>
        </is>
      </c>
      <c r="M66" s="6" t="n">
        <v>1</v>
      </c>
    </row>
    <row r="67">
      <c r="A67" s="2" t="inlineStr">
        <is>
          <t>Refined products</t>
        </is>
      </c>
      <c r="B67" s="2" t="inlineStr">
        <is>
          <t>Sunoco, Philadelphia to Rochester and Buffalo</t>
        </is>
      </c>
      <c r="C67" s="2" t="inlineStr">
        <is>
          <t>Reading, PA to Rochester and Buffalo, NY</t>
        </is>
      </c>
      <c r="D67" s="9" t="n">
        <v>64800</v>
      </c>
      <c r="E67" s="2" t="inlineStr">
        <is>
          <t>Capacity</t>
        </is>
      </c>
      <c r="F67" s="2" t="inlineStr">
        <is>
          <t>2016</t>
        </is>
      </c>
      <c r="G67" s="2" t="inlineStr">
        <is>
          <t>Official (EIA study)</t>
        </is>
      </c>
      <c r="H67" s="2" t="inlineStr">
        <is>
          <t>EIA, East Coast and Gulf Coast Transportation Fuels Markets (prepared by ICF), Feb 2016, Table 17</t>
        </is>
      </c>
      <c r="I67" s="10" t="inlineStr">
        <is>
          <t>https://www.eia.gov/analysis/transportationfuels/padd1n3/pdf/transportation_fuels_padd1n3.pdf</t>
        </is>
      </c>
      <c r="J67" s="2" t="inlineStr">
        <is>
          <t>Philadelphia, PA Rochester and Buffalo, NY 64,800</t>
        </is>
      </c>
      <c r="K67" s="2" t="inlineStr"/>
      <c r="L67" s="2" t="inlineStr">
        <is>
          <t>Yes</t>
        </is>
      </c>
      <c r="M67" s="2" t="n">
        <v>2</v>
      </c>
    </row>
    <row r="68">
      <c r="A68" s="6" t="inlineStr">
        <is>
          <t>Refined products</t>
        </is>
      </c>
      <c r="B68" s="6" t="inlineStr">
        <is>
          <t>Sunoco, Montello to Kingston</t>
        </is>
      </c>
      <c r="C68" s="6" t="inlineStr">
        <is>
          <t>Reading/Montello, PA to Kingston, PA</t>
        </is>
      </c>
      <c r="D68" s="7" t="n">
        <v>11000</v>
      </c>
      <c r="E68" s="6" t="inlineStr">
        <is>
          <t>Capacity</t>
        </is>
      </c>
      <c r="F68" s="6" t="inlineStr">
        <is>
          <t>2016</t>
        </is>
      </c>
      <c r="G68" s="6" t="inlineStr">
        <is>
          <t>Official (EIA study)</t>
        </is>
      </c>
      <c r="H68" s="6" t="inlineStr">
        <is>
          <t>EIA, East Coast and Gulf Coast Transportation Fuels Markets (prepared by ICF), Feb 2016, Table 17</t>
        </is>
      </c>
      <c r="I68" s="8" t="inlineStr">
        <is>
          <t>https://www.eia.gov/analysis/transportationfuels/padd1n3/pdf/transportation_fuels_padd1n3.pdf</t>
        </is>
      </c>
      <c r="J68" s="6" t="inlineStr">
        <is>
          <t>Montello, PA Kingston, PA 11,000</t>
        </is>
      </c>
      <c r="K68" s="6" t="inlineStr"/>
      <c r="L68" s="6" t="inlineStr">
        <is>
          <t>Yes</t>
        </is>
      </c>
      <c r="M68" s="6" t="n">
        <v>1</v>
      </c>
    </row>
    <row r="69">
      <c r="A69" s="2" t="inlineStr">
        <is>
          <t>Refined products</t>
        </is>
      </c>
      <c r="B69" s="2" t="inlineStr">
        <is>
          <t>Sunoco Allegheny Access</t>
        </is>
      </c>
      <c r="C69" s="2" t="inlineStr">
        <is>
          <t>Toledo and Lima, OH to Delmont (Pittsburgh), PA</t>
        </is>
      </c>
      <c r="D69" s="9" t="n">
        <v>85000</v>
      </c>
      <c r="E69" s="2" t="inlineStr">
        <is>
          <t>Capacity</t>
        </is>
      </c>
      <c r="F69" s="2" t="inlineStr">
        <is>
          <t>2016</t>
        </is>
      </c>
      <c r="G69" s="2" t="inlineStr">
        <is>
          <t>Official (EIA study)</t>
        </is>
      </c>
      <c r="H69" s="2" t="inlineStr">
        <is>
          <t>EIA, East Coast and Gulf Coast Transportation Fuels Markets (prepared by ICF), Feb 2016, Table 17</t>
        </is>
      </c>
      <c r="I69" s="10" t="inlineStr">
        <is>
          <t>https://www.eia.gov/analysis/transportationfuels/padd1n3/pdf/transportation_fuels_padd1n3.pdf</t>
        </is>
      </c>
      <c r="J69" s="2" t="inlineStr">
        <is>
          <t>Allegheny Access Toledo and Lima, OH Delmont, PA 85,000</t>
        </is>
      </c>
      <c r="K69" s="2" t="inlineStr"/>
      <c r="L69" s="2" t="inlineStr">
        <is>
          <t>Yes</t>
        </is>
      </c>
      <c r="M69" s="2" t="n">
        <v>1</v>
      </c>
    </row>
    <row r="70">
      <c r="A70" s="6" t="inlineStr">
        <is>
          <t>Refined products</t>
        </is>
      </c>
      <c r="B70" s="6" t="inlineStr">
        <is>
          <t>Marathon, Robinson to Louisville</t>
        </is>
      </c>
      <c r="C70" s="6" t="inlineStr">
        <is>
          <t>Robinson, IL to Louisville, KY</t>
        </is>
      </c>
      <c r="D70" s="7" t="n">
        <v>92000</v>
      </c>
      <c r="E70" s="6" t="inlineStr">
        <is>
          <t>Capacity</t>
        </is>
      </c>
      <c r="F70" s="6" t="inlineStr">
        <is>
          <t>2017</t>
        </is>
      </c>
      <c r="G70" s="6" t="inlineStr">
        <is>
          <t>Official (EIA study)</t>
        </is>
      </c>
      <c r="H70" s="6" t="inlineStr">
        <is>
          <t>EIA, PADDs 2 and 4 Transportation Fuels Markets, Jan 2017, Table 10</t>
        </is>
      </c>
      <c r="I70" s="8" t="inlineStr">
        <is>
          <t>https://www.eia.gov/analysis/transportationfuels/padd2n4/pdf/transportation_fuels.pdf</t>
        </is>
      </c>
      <c r="J70" s="6" t="inlineStr">
        <is>
          <t>Robinson Products Robinson, IL Louisville, KY 129 16 92,000</t>
        </is>
      </c>
      <c r="K70" s="6" t="inlineStr">
        <is>
          <t>Louisville to Lexington: 36,000</t>
        </is>
      </c>
      <c r="L70" s="6" t="inlineStr">
        <is>
          <t>Yes</t>
        </is>
      </c>
      <c r="M70" s="6" t="n">
        <v>1</v>
      </c>
    </row>
    <row r="71">
      <c r="A71" s="2" t="inlineStr">
        <is>
          <t>Refined products</t>
        </is>
      </c>
      <c r="B71" s="2" t="inlineStr">
        <is>
          <t>Marathon, Robinson to Lima</t>
        </is>
      </c>
      <c r="C71" s="2" t="inlineStr">
        <is>
          <t>Robinson, IL to Lima, OH</t>
        </is>
      </c>
      <c r="D71" s="9" t="n">
        <v>51000</v>
      </c>
      <c r="E71" s="2" t="inlineStr">
        <is>
          <t>Capacity</t>
        </is>
      </c>
      <c r="F71" s="2" t="inlineStr">
        <is>
          <t>2017</t>
        </is>
      </c>
      <c r="G71" s="2" t="inlineStr">
        <is>
          <t>Official (EIA study)</t>
        </is>
      </c>
      <c r="H71" s="2" t="inlineStr">
        <is>
          <t>EIA, PADDs 2 and 4 Transportation Fuels Markets, Jan 2017, Table 10</t>
        </is>
      </c>
      <c r="I71" s="10" t="inlineStr">
        <is>
          <t>https://www.eia.gov/analysis/transportationfuels/padd2n4/pdf/transportation_fuels.pdf</t>
        </is>
      </c>
      <c r="J71" s="2" t="inlineStr">
        <is>
          <t>Robinson, IL Lima, OH 250 10 51,000</t>
        </is>
      </c>
      <c r="K71" s="2" t="inlineStr">
        <is>
          <t>The parallel EIA route on this corridor is drawn thin</t>
        </is>
      </c>
      <c r="L71" s="2" t="inlineStr">
        <is>
          <t>Yes</t>
        </is>
      </c>
      <c r="M71" s="2" t="n">
        <v>1</v>
      </c>
    </row>
    <row r="72">
      <c r="A72" s="6" t="inlineStr">
        <is>
          <t>Refined products</t>
        </is>
      </c>
      <c r="B72" s="6" t="inlineStr">
        <is>
          <t>Marathon Wabash, Robinson to Champaign</t>
        </is>
      </c>
      <c r="C72" s="6" t="inlineStr">
        <is>
          <t>Robinson, IL to Champaign, IL</t>
        </is>
      </c>
      <c r="D72" s="7" t="n">
        <v>99000</v>
      </c>
      <c r="E72" s="6" t="inlineStr">
        <is>
          <t>Capacity</t>
        </is>
      </c>
      <c r="F72" s="6" t="inlineStr">
        <is>
          <t>2017</t>
        </is>
      </c>
      <c r="G72" s="6" t="inlineStr">
        <is>
          <t>Official (EIA study)</t>
        </is>
      </c>
      <c r="H72" s="6" t="inlineStr">
        <is>
          <t>EIA, PADDs 2 and 4 Transportation Fuels Markets, Jan 2017, Table 10</t>
        </is>
      </c>
      <c r="I72" s="8" t="inlineStr">
        <is>
          <t>https://www.eia.gov/analysis/transportationfuels/padd2n4/pdf/transportation_fuels.pdf</t>
        </is>
      </c>
      <c r="J72" s="6" t="inlineStr">
        <is>
          <t>Wabash Robinson, IL Champaign, IL 86 12 99,000</t>
        </is>
      </c>
      <c r="K72" s="6" t="inlineStr"/>
      <c r="L72" s="6" t="inlineStr">
        <is>
          <t>Yes</t>
        </is>
      </c>
      <c r="M72" s="6" t="n">
        <v>1</v>
      </c>
    </row>
    <row r="73">
      <c r="A73" s="2" t="inlineStr">
        <is>
          <t>Refined products</t>
        </is>
      </c>
      <c r="B73" s="2" t="inlineStr">
        <is>
          <t>Marathon Wabash, Wood River to Champaign and Chicago</t>
        </is>
      </c>
      <c r="C73" s="2" t="inlineStr">
        <is>
          <t>Wood River, IL to Champaign, IL and Griffith/Hammond, IN</t>
        </is>
      </c>
      <c r="D73" s="9" t="n">
        <v>71000</v>
      </c>
      <c r="E73" s="2" t="inlineStr">
        <is>
          <t>Capacity (Wood River to Champaign)</t>
        </is>
      </c>
      <c r="F73" s="2" t="inlineStr">
        <is>
          <t>2017</t>
        </is>
      </c>
      <c r="G73" s="2" t="inlineStr">
        <is>
          <t>Official (EIA study)</t>
        </is>
      </c>
      <c r="H73" s="2" t="inlineStr">
        <is>
          <t>EIA, PADDs 2 and 4 Transportation Fuels Markets, Jan 2017, Table 10</t>
        </is>
      </c>
      <c r="I73" s="10" t="inlineStr">
        <is>
          <t>https://www.eia.gov/analysis/transportationfuels/padd2n4/pdf/transportation_fuels.pdf</t>
        </is>
      </c>
      <c r="J73" s="2" t="inlineStr">
        <is>
          <t>Wood River, IL Champaign, IL 130 12 71,000</t>
        </is>
      </c>
      <c r="K73" s="2" t="inlineStr">
        <is>
          <t>EIA draws this as one route; Champaign to Griffith/Hammond is 85,000</t>
        </is>
      </c>
      <c r="L73" s="2" t="inlineStr">
        <is>
          <t>Yes</t>
        </is>
      </c>
      <c r="M73" s="2" t="n">
        <v>1</v>
      </c>
    </row>
    <row r="74">
      <c r="A74" s="6" t="inlineStr">
        <is>
          <t>Refined products</t>
        </is>
      </c>
      <c r="B74" s="6" t="inlineStr">
        <is>
          <t>Marathon, Wood River to Clermont</t>
        </is>
      </c>
      <c r="C74" s="6" t="inlineStr">
        <is>
          <t>Wood River, IL to Clermont (Indianapolis), IN</t>
        </is>
      </c>
      <c r="D74" s="7" t="n">
        <v>48000</v>
      </c>
      <c r="E74" s="6" t="inlineStr">
        <is>
          <t>Capacity</t>
        </is>
      </c>
      <c r="F74" s="6" t="inlineStr">
        <is>
          <t>2017</t>
        </is>
      </c>
      <c r="G74" s="6" t="inlineStr">
        <is>
          <t>Official (EIA study)</t>
        </is>
      </c>
      <c r="H74" s="6" t="inlineStr">
        <is>
          <t>EIA, PADDs 2 and 4 Transportation Fuels Markets, Jan 2017, Table 10</t>
        </is>
      </c>
      <c r="I74" s="8" t="inlineStr">
        <is>
          <t>https://www.eia.gov/analysis/transportationfuels/padd2n4/pdf/transportation_fuels.pdf</t>
        </is>
      </c>
      <c r="J74" s="6" t="inlineStr">
        <is>
          <t>Wood River, IL Clermont, IN 317 10 48,000</t>
        </is>
      </c>
      <c r="K74" s="6" t="inlineStr"/>
      <c r="L74" s="6" t="inlineStr">
        <is>
          <t>Yes</t>
        </is>
      </c>
      <c r="M74" s="6" t="n">
        <v>1</v>
      </c>
    </row>
    <row r="75">
      <c r="A75" s="2" t="inlineStr">
        <is>
          <t>Refined products</t>
        </is>
      </c>
      <c r="B75" s="2" t="inlineStr">
        <is>
          <t>Marathon, Robinson to Mt. Vernon</t>
        </is>
      </c>
      <c r="C75" s="2" t="inlineStr">
        <is>
          <t>Robinson, IL to Mt. Vernon, IN</t>
        </is>
      </c>
      <c r="D75" s="9" t="n">
        <v>43000</v>
      </c>
      <c r="E75" s="2" t="inlineStr">
        <is>
          <t>Capacity</t>
        </is>
      </c>
      <c r="F75" s="2" t="inlineStr">
        <is>
          <t>2017</t>
        </is>
      </c>
      <c r="G75" s="2" t="inlineStr">
        <is>
          <t>Official (EIA study)</t>
        </is>
      </c>
      <c r="H75" s="2" t="inlineStr">
        <is>
          <t>EIA, PADDs 2 and 4 Transportation Fuels Markets, Jan 2017, Table 10</t>
        </is>
      </c>
      <c r="I75" s="10" t="inlineStr">
        <is>
          <t>https://www.eia.gov/analysis/transportationfuels/padd2n4/pdf/transportation_fuels.pdf</t>
        </is>
      </c>
      <c r="J75" s="2" t="inlineStr">
        <is>
          <t>Robinson, IL Mt. Vernon, IN 79 10 43,000</t>
        </is>
      </c>
      <c r="K75" s="2" t="inlineStr"/>
      <c r="L75" s="2" t="inlineStr">
        <is>
          <t>Yes</t>
        </is>
      </c>
      <c r="M75" s="2" t="n">
        <v>1</v>
      </c>
    </row>
    <row r="76">
      <c r="A76" s="6" t="inlineStr">
        <is>
          <t>Refined products</t>
        </is>
      </c>
      <c r="B76" s="6" t="inlineStr">
        <is>
          <t>Marathon, Kenova to Columbus</t>
        </is>
      </c>
      <c r="C76" s="6" t="inlineStr">
        <is>
          <t>Kenova, WV to Columbus, OH</t>
        </is>
      </c>
      <c r="D76" s="7" t="n">
        <v>68000</v>
      </c>
      <c r="E76" s="6" t="inlineStr">
        <is>
          <t>Capacity</t>
        </is>
      </c>
      <c r="F76" s="6" t="inlineStr">
        <is>
          <t>2017</t>
        </is>
      </c>
      <c r="G76" s="6" t="inlineStr">
        <is>
          <t>Official (EIA study)</t>
        </is>
      </c>
      <c r="H76" s="6" t="inlineStr">
        <is>
          <t>EIA, PADDs 2 and 4 Transportation Fuels Markets, Jan 2017, Table 10</t>
        </is>
      </c>
      <c r="I76" s="8" t="inlineStr">
        <is>
          <t>https://www.eia.gov/analysis/transportationfuels/padd2n4/pdf/transportation_fuels.pdf</t>
        </is>
      </c>
      <c r="J76" s="6" t="inlineStr">
        <is>
          <t>Ohio River Pipe Line (ORPL) Products Kenova, WV Columbus, OH 150 14 68,000</t>
        </is>
      </c>
      <c r="K76" s="6" t="inlineStr"/>
      <c r="L76" s="6" t="inlineStr">
        <is>
          <t>Yes</t>
        </is>
      </c>
      <c r="M76" s="6" t="n">
        <v>1</v>
      </c>
    </row>
    <row r="77">
      <c r="A77" s="2" t="inlineStr">
        <is>
          <t>Refined products</t>
        </is>
      </c>
      <c r="B77" s="2" t="inlineStr">
        <is>
          <t>Marathon, East Sparta to Heath</t>
        </is>
      </c>
      <c r="C77" s="2" t="inlineStr">
        <is>
          <t>East Sparta, OH to Heath, OH</t>
        </is>
      </c>
      <c r="D77" s="9" t="n">
        <v>29000</v>
      </c>
      <c r="E77" s="2" t="inlineStr">
        <is>
          <t>Capacity</t>
        </is>
      </c>
      <c r="F77" s="2" t="inlineStr">
        <is>
          <t>2017</t>
        </is>
      </c>
      <c r="G77" s="2" t="inlineStr">
        <is>
          <t>Official (EIA study)</t>
        </is>
      </c>
      <c r="H77" s="2" t="inlineStr">
        <is>
          <t>EIA, PADDs 2 and 4 Transportation Fuels Markets, Jan 2017, Table 10</t>
        </is>
      </c>
      <c r="I77" s="10" t="inlineStr">
        <is>
          <t>https://www.eia.gov/analysis/transportationfuels/padd2n4/pdf/transportation_fuels.pdf</t>
        </is>
      </c>
      <c r="J77" s="2" t="inlineStr">
        <is>
          <t>East Sparta, OH Heath, OH 81 8 29,000</t>
        </is>
      </c>
      <c r="K77" s="2" t="inlineStr"/>
      <c r="L77" s="2" t="inlineStr">
        <is>
          <t>Yes</t>
        </is>
      </c>
      <c r="M77" s="2" t="n">
        <v>1</v>
      </c>
    </row>
    <row r="78">
      <c r="A78" s="6" t="inlineStr">
        <is>
          <t>Refined products</t>
        </is>
      </c>
      <c r="B78" s="6" t="inlineStr">
        <is>
          <t>Marathon, Heath to Dayton</t>
        </is>
      </c>
      <c r="C78" s="6" t="inlineStr">
        <is>
          <t>Heath, OH to Dayton, OH</t>
        </is>
      </c>
      <c r="D78" s="7" t="n">
        <v>24000</v>
      </c>
      <c r="E78" s="6" t="inlineStr">
        <is>
          <t>Capacity</t>
        </is>
      </c>
      <c r="F78" s="6" t="inlineStr">
        <is>
          <t>2017</t>
        </is>
      </c>
      <c r="G78" s="6" t="inlineStr">
        <is>
          <t>Official (EIA study)</t>
        </is>
      </c>
      <c r="H78" s="6" t="inlineStr">
        <is>
          <t>EIA, PADDs 2 and 4 Transportation Fuels Markets, Jan 2017, Table 10</t>
        </is>
      </c>
      <c r="I78" s="8" t="inlineStr">
        <is>
          <t>https://www.eia.gov/analysis/transportationfuels/padd2n4/pdf/transportation_fuels.pdf</t>
        </is>
      </c>
      <c r="J78" s="6" t="inlineStr">
        <is>
          <t>Heath, OH Dayton, OH 108 6 24,000</t>
        </is>
      </c>
      <c r="K78" s="6" t="inlineStr"/>
      <c r="L78" s="6" t="inlineStr">
        <is>
          <t>Yes</t>
        </is>
      </c>
      <c r="M78" s="6" t="n">
        <v>1</v>
      </c>
    </row>
    <row r="79">
      <c r="A79" s="2" t="inlineStr">
        <is>
          <t>Refined products</t>
        </is>
      </c>
      <c r="B79" s="2" t="inlineStr">
        <is>
          <t>Marathon, Heath to Findlay</t>
        </is>
      </c>
      <c r="C79" s="2" t="inlineStr">
        <is>
          <t>Heath, OH to Findlay, OH</t>
        </is>
      </c>
      <c r="D79" s="9" t="n">
        <v>18000</v>
      </c>
      <c r="E79" s="2" t="inlineStr">
        <is>
          <t>Capacity</t>
        </is>
      </c>
      <c r="F79" s="2" t="inlineStr">
        <is>
          <t>2017</t>
        </is>
      </c>
      <c r="G79" s="2" t="inlineStr">
        <is>
          <t>Official (EIA study)</t>
        </is>
      </c>
      <c r="H79" s="2" t="inlineStr">
        <is>
          <t>EIA, PADDs 2 and 4 Transportation Fuels Markets, Jan 2017, Table 10</t>
        </is>
      </c>
      <c r="I79" s="10" t="inlineStr">
        <is>
          <t>https://www.eia.gov/analysis/transportationfuels/padd2n4/pdf/transportation_fuels.pdf</t>
        </is>
      </c>
      <c r="J79" s="2" t="inlineStr">
        <is>
          <t>Heath, OH Findlay, OH 100 10/8 18,000</t>
        </is>
      </c>
      <c r="K79" s="2" t="inlineStr"/>
      <c r="L79" s="2" t="inlineStr">
        <is>
          <t>Yes</t>
        </is>
      </c>
      <c r="M79" s="2" t="n">
        <v>1</v>
      </c>
    </row>
    <row r="80">
      <c r="A80" s="6" t="inlineStr">
        <is>
          <t>Refined products</t>
        </is>
      </c>
      <c r="B80" s="6" t="inlineStr">
        <is>
          <t>Magellan Chase Pipeline</t>
        </is>
      </c>
      <c r="C80" s="6" t="inlineStr">
        <is>
          <t>El Dorado, KS to Aurora (Denver), CO</t>
        </is>
      </c>
      <c r="D80" s="7" t="n">
        <v>60000</v>
      </c>
      <c r="E80" s="6" t="inlineStr">
        <is>
          <t>Capacity</t>
        </is>
      </c>
      <c r="F80" s="6" t="inlineStr">
        <is>
          <t>2017</t>
        </is>
      </c>
      <c r="G80" s="6" t="inlineStr">
        <is>
          <t>Official (EIA study)</t>
        </is>
      </c>
      <c r="H80" s="6" t="inlineStr">
        <is>
          <t>EIA, PADDs 2 and 4 Transportation Fuels Markets, Jan 2017, Table 42</t>
        </is>
      </c>
      <c r="I80" s="8" t="inlineStr">
        <is>
          <t>https://www.eia.gov/analysis/transportationfuels/padd2n4/pdf/transportation_fuels.pdf</t>
        </is>
      </c>
      <c r="J80" s="6" t="inlineStr">
        <is>
          <t>Capacity on the segment from El Dorado to Aurora is 60,000 b/d.</t>
        </is>
      </c>
      <c r="K80" s="6" t="inlineStr"/>
      <c r="L80" s="6" t="inlineStr">
        <is>
          <t>Yes</t>
        </is>
      </c>
      <c r="M80" s="6" t="n">
        <v>2</v>
      </c>
    </row>
    <row r="81">
      <c r="A81" s="2" t="inlineStr">
        <is>
          <t>Refined products</t>
        </is>
      </c>
      <c r="B81" s="2" t="inlineStr">
        <is>
          <t>Magellan, Houston to Odessa</t>
        </is>
      </c>
      <c r="C81" s="2" t="inlineStr">
        <is>
          <t>Houston, TX to Odessa, TX</t>
        </is>
      </c>
      <c r="D81" s="9" t="n">
        <v>110000</v>
      </c>
      <c r="E81" s="2" t="inlineStr">
        <is>
          <t>Capacity</t>
        </is>
      </c>
      <c r="F81" s="2" t="inlineStr">
        <is>
          <t>2016</t>
        </is>
      </c>
      <c r="G81" s="2" t="inlineStr">
        <is>
          <t>Official (EIA study)</t>
        </is>
      </c>
      <c r="H81" s="2" t="inlineStr">
        <is>
          <t>EIA, East Coast and Gulf Coast Transportation Fuels Markets (prepared by ICF), Feb 2016, Table 30</t>
        </is>
      </c>
      <c r="I81" s="10" t="inlineStr">
        <is>
          <t>https://www.eia.gov/analysis/transportationfuels/padd1n3/pdf/transportation_fuels_padd1n3.pdf</t>
        </is>
      </c>
      <c r="J81" s="2" t="inlineStr">
        <is>
          <t>Houston, TX Odessa, TX Not avail. 110,000</t>
        </is>
      </c>
      <c r="K81" s="2" t="inlineStr"/>
      <c r="L81" s="2" t="inlineStr">
        <is>
          <t>Yes</t>
        </is>
      </c>
      <c r="M81" s="2" t="n">
        <v>2</v>
      </c>
    </row>
    <row r="82">
      <c r="A82" s="6" t="inlineStr">
        <is>
          <t>Refined products</t>
        </is>
      </c>
      <c r="B82" s="6" t="inlineStr">
        <is>
          <t>Magellan, Odessa to El Paso</t>
        </is>
      </c>
      <c r="C82" s="6" t="inlineStr">
        <is>
          <t>Odessa, TX to El Paso, TX</t>
        </is>
      </c>
      <c r="D82" s="7" t="n">
        <v>64000</v>
      </c>
      <c r="E82" s="6" t="inlineStr">
        <is>
          <t>Capacity</t>
        </is>
      </c>
      <c r="F82" s="6" t="inlineStr">
        <is>
          <t>2016</t>
        </is>
      </c>
      <c r="G82" s="6" t="inlineStr">
        <is>
          <t>Official (EIA study)</t>
        </is>
      </c>
      <c r="H82" s="6" t="inlineStr">
        <is>
          <t>EIA, East Coast and Gulf Coast Transportation Fuels Markets (prepared by ICF), Feb 2016, Table 30</t>
        </is>
      </c>
      <c r="I82" s="8" t="inlineStr">
        <is>
          <t>https://www.eia.gov/analysis/transportationfuels/padd1n3/pdf/transportation_fuels_padd1n3.pdf</t>
        </is>
      </c>
      <c r="J82" s="6" t="inlineStr">
        <is>
          <t>Odessa, TX El Paso, TX Not avail. 64,000</t>
        </is>
      </c>
      <c r="K82" s="6" t="inlineStr">
        <is>
          <t>The parallel EIA route on this corridor is drawn thin</t>
        </is>
      </c>
      <c r="L82" s="6" t="inlineStr">
        <is>
          <t>Yes</t>
        </is>
      </c>
      <c r="M82" s="6" t="n">
        <v>1</v>
      </c>
    </row>
    <row r="83">
      <c r="A83" s="2" t="inlineStr">
        <is>
          <t>Refined products</t>
        </is>
      </c>
      <c r="B83" s="2" t="inlineStr">
        <is>
          <t>El Paso to Albuquerque line</t>
        </is>
      </c>
      <c r="C83" s="2" t="inlineStr">
        <is>
          <t>El Paso, TX to Albuquerque, NM</t>
        </is>
      </c>
      <c r="D83" s="9" t="n">
        <v>28200</v>
      </c>
      <c r="E83" s="2" t="inlineStr">
        <is>
          <t>Capacity</t>
        </is>
      </c>
      <c r="F83" s="2" t="inlineStr">
        <is>
          <t>2016</t>
        </is>
      </c>
      <c r="G83" s="2" t="inlineStr">
        <is>
          <t>Official (EIA study)</t>
        </is>
      </c>
      <c r="H83" s="2" t="inlineStr">
        <is>
          <t>EIA, East Coast and Gulf Coast Transportation Fuels Markets (prepared by ICF), Feb 2016, Tables 30 and 41</t>
        </is>
      </c>
      <c r="I83" s="10" t="inlineStr">
        <is>
          <t>https://www.eia.gov/analysis/transportationfuels/padd1n3/pdf/transportation_fuels_padd1n3.pdf</t>
        </is>
      </c>
      <c r="J83" s="2" t="inlineStr">
        <is>
          <t>El Paso, TX Albuquerque, NM 257 28,200</t>
        </is>
      </c>
      <c r="K83" s="2" t="inlineStr">
        <is>
          <t>EIA lists this line under Magellan; the EIA route layer labels it Plains</t>
        </is>
      </c>
      <c r="L83" s="2" t="inlineStr">
        <is>
          <t>Yes</t>
        </is>
      </c>
      <c r="M83" s="2" t="n">
        <v>1</v>
      </c>
    </row>
    <row r="84">
      <c r="A84" s="6" t="inlineStr">
        <is>
          <t>Refined products</t>
        </is>
      </c>
      <c r="B84" s="6" t="inlineStr">
        <is>
          <t>NuStar McKee to Denver</t>
        </is>
      </c>
      <c r="C84" s="6" t="inlineStr">
        <is>
          <t>McKee refinery (Sunray, TX) to Denver, CO</t>
        </is>
      </c>
      <c r="D84" s="7" t="n">
        <v>32500</v>
      </c>
      <c r="E84" s="6" t="inlineStr">
        <is>
          <t>Capacity</t>
        </is>
      </c>
      <c r="F84" s="6" t="inlineStr">
        <is>
          <t>2017</t>
        </is>
      </c>
      <c r="G84" s="6" t="inlineStr">
        <is>
          <t>Official (EIA study)</t>
        </is>
      </c>
      <c r="H84" s="6" t="inlineStr">
        <is>
          <t>EIA, PADDs 2 and 4 Transportation Fuels Markets, Jan 2017, Table 43</t>
        </is>
      </c>
      <c r="I84" s="8" t="inlineStr">
        <is>
          <t>https://www.eia.gov/analysis/transportationfuels/padd2n4/pdf/transportation_fuels.pdf</t>
        </is>
      </c>
      <c r="J84" s="6" t="inlineStr">
        <is>
          <t>McKee-Denver McKee refinery (Sunray, TX) Denver, CO 357 10 32,500</t>
        </is>
      </c>
      <c r="K84" s="6" t="inlineStr"/>
      <c r="L84" s="6" t="inlineStr">
        <is>
          <t>Yes</t>
        </is>
      </c>
      <c r="M84" s="6" t="n">
        <v>1</v>
      </c>
    </row>
    <row r="85">
      <c r="A85" s="2" t="inlineStr">
        <is>
          <t>Refined products</t>
        </is>
      </c>
      <c r="B85" s="2" t="inlineStr">
        <is>
          <t>NuStar Amarillo to Albuquerque</t>
        </is>
      </c>
      <c r="C85" s="2" t="inlineStr">
        <is>
          <t>Amarillo, TX to Albuquerque, NM</t>
        </is>
      </c>
      <c r="D85" s="9" t="n">
        <v>17200</v>
      </c>
      <c r="E85" s="2" t="inlineStr">
        <is>
          <t>Capacity</t>
        </is>
      </c>
      <c r="F85" s="2" t="inlineStr">
        <is>
          <t>2016</t>
        </is>
      </c>
      <c r="G85" s="2" t="inlineStr">
        <is>
          <t>Official (EIA study)</t>
        </is>
      </c>
      <c r="H85" s="2" t="inlineStr">
        <is>
          <t>EIA, East Coast and Gulf Coast Transportation Fuels Markets (prepared by ICF), Feb 2016, Table 41</t>
        </is>
      </c>
      <c r="I85" s="10" t="inlineStr">
        <is>
          <t>https://www.eia.gov/analysis/transportationfuels/padd1n3/pdf/transportation_fuels_padd1n3.pdf</t>
        </is>
      </c>
      <c r="J85" s="2" t="inlineStr">
        <is>
          <t>NuStar Central West Pipeline Amarillo, TX Albuquerque, NM 293 17,200</t>
        </is>
      </c>
      <c r="K85" s="2" t="inlineStr"/>
      <c r="L85" s="2" t="inlineStr">
        <is>
          <t>Yes</t>
        </is>
      </c>
      <c r="M85" s="2" t="n">
        <v>1</v>
      </c>
    </row>
    <row r="86">
      <c r="A86" s="6" t="inlineStr">
        <is>
          <t>Refined products</t>
        </is>
      </c>
      <c r="B86" s="6" t="inlineStr">
        <is>
          <t>NuStar North Pipeline</t>
        </is>
      </c>
      <c r="C86" s="6" t="inlineStr">
        <is>
          <t>Mandan, ND to Roseville (Twin Cities), MN</t>
        </is>
      </c>
      <c r="D86" s="7" t="n">
        <v>47000</v>
      </c>
      <c r="E86" s="6" t="inlineStr">
        <is>
          <t>Throughput (2015, from Mandan)</t>
        </is>
      </c>
      <c r="F86" s="6" t="inlineStr">
        <is>
          <t>2015</t>
        </is>
      </c>
      <c r="G86" s="6" t="inlineStr">
        <is>
          <t>Official (EIA study)</t>
        </is>
      </c>
      <c r="H86" s="6" t="inlineStr">
        <is>
          <t>EIA, PADDs 2 and 4 Transportation Fuels Markets, Jan 2017, Table 25</t>
        </is>
      </c>
      <c r="I86" s="8" t="inlineStr">
        <is>
          <t>https://www.eia.gov/analysis/transportationfuels/padd2n4/pdf/transportation_fuels.pdf</t>
        </is>
      </c>
      <c r="J86" s="6" t="inlineStr">
        <is>
          <t>North Pipeline Mainline Mandan, ND Roseville, MN 440 10/8 47,000</t>
        </is>
      </c>
      <c r="K86" s="6" t="inlineStr">
        <is>
          <t>2015 shipments originating at the Mandan refinery</t>
        </is>
      </c>
      <c r="L86" s="6" t="inlineStr">
        <is>
          <t>Yes</t>
        </is>
      </c>
      <c r="M86" s="6" t="n">
        <v>1</v>
      </c>
    </row>
    <row r="87">
      <c r="A87" s="2" t="inlineStr">
        <is>
          <t>Refined products</t>
        </is>
      </c>
      <c r="B87" s="2" t="inlineStr">
        <is>
          <t>NuStar Valley Pipeline</t>
        </is>
      </c>
      <c r="C87" s="2" t="inlineStr">
        <is>
          <t>Corpus Christi, TX to Rio Grande Valley</t>
        </is>
      </c>
      <c r="D87" s="9" t="n">
        <v>90000</v>
      </c>
      <c r="E87" s="2" t="inlineStr">
        <is>
          <t>Capacity</t>
        </is>
      </c>
      <c r="F87" s="2" t="inlineStr">
        <is>
          <t>2019</t>
        </is>
      </c>
      <c r="G87" s="2" t="inlineStr">
        <is>
          <t>Official (EIA)</t>
        </is>
      </c>
      <c r="H87" s="2" t="inlineStr">
        <is>
          <t>EIA, Liquids pipeline projects database (ID 214)</t>
        </is>
      </c>
      <c r="I87" s="10" t="inlineStr">
        <is>
          <t>https://www.eia.gov/petroleum/xls/EIA_LiqPipProject.xlsx</t>
        </is>
      </c>
      <c r="J87" s="2" t="inlineStr">
        <is>
          <t>Increased Valley Pipeline by 45,000 to 90,000 b/d.</t>
        </is>
      </c>
      <c r="K87" s="2" t="inlineStr"/>
      <c r="L87" s="2" t="inlineStr">
        <is>
          <t>Yes</t>
        </is>
      </c>
      <c r="M87" s="2" t="n">
        <v>1</v>
      </c>
    </row>
    <row r="88">
      <c r="A88" s="6" t="inlineStr">
        <is>
          <t>Refined products</t>
        </is>
      </c>
      <c r="B88" s="6" t="inlineStr">
        <is>
          <t>Holly, Big Spring to Wichita Falls</t>
        </is>
      </c>
      <c r="C88" s="6" t="inlineStr">
        <is>
          <t>Big Spring, TX to Wichita Falls, TX and Duncan, OK</t>
        </is>
      </c>
      <c r="D88" s="7" t="n">
        <v>23000</v>
      </c>
      <c r="E88" s="6" t="inlineStr">
        <is>
          <t>Capacity</t>
        </is>
      </c>
      <c r="F88" s="6" t="inlineStr">
        <is>
          <t>2016</t>
        </is>
      </c>
      <c r="G88" s="6" t="inlineStr">
        <is>
          <t>Official (EIA study)</t>
        </is>
      </c>
      <c r="H88" s="6" t="inlineStr">
        <is>
          <t>EIA, East Coast and Gulf Coast Transportation Fuels Markets (prepared by ICF), Feb 2016, Table 30</t>
        </is>
      </c>
      <c r="I88" s="8" t="inlineStr">
        <is>
          <t>https://www.eia.gov/analysis/transportationfuels/padd1n3/pdf/transportation_fuels_padd1n3.pdf</t>
        </is>
      </c>
      <c r="J88" s="6" t="inlineStr">
        <is>
          <t>Big Spring, TX Wichita Falls, TX 227 23,000</t>
        </is>
      </c>
      <c r="K88" s="6" t="inlineStr">
        <is>
          <t>Wichita Falls to Duncan: 21,000</t>
        </is>
      </c>
      <c r="L88" s="6" t="inlineStr">
        <is>
          <t>Yes</t>
        </is>
      </c>
      <c r="M88" s="6" t="n">
        <v>1</v>
      </c>
    </row>
    <row r="89">
      <c r="A89" s="2" t="inlineStr">
        <is>
          <t>Refined products</t>
        </is>
      </c>
      <c r="B89" s="2" t="inlineStr">
        <is>
          <t>Sinclair Medicine Bow Pipeline</t>
        </is>
      </c>
      <c r="C89" s="2" t="inlineStr">
        <is>
          <t>Sinclair, WY to Denver, CO</t>
        </is>
      </c>
      <c r="D89" s="9" t="n">
        <v>27600</v>
      </c>
      <c r="E89" s="2" t="inlineStr">
        <is>
          <t>Capacity</t>
        </is>
      </c>
      <c r="F89" s="2" t="inlineStr">
        <is>
          <t>2017</t>
        </is>
      </c>
      <c r="G89" s="2" t="inlineStr">
        <is>
          <t>Official (EIA study)</t>
        </is>
      </c>
      <c r="H89" s="2" t="inlineStr">
        <is>
          <t>EIA, PADDs 2 and 4 Transportation Fuels Markets, Jan 2017, Table 44</t>
        </is>
      </c>
      <c r="I89" s="10" t="inlineStr">
        <is>
          <t>https://www.eia.gov/analysis/transportationfuels/padd2n4/pdf/transportation_fuels.pdf</t>
        </is>
      </c>
      <c r="J89" s="2" t="inlineStr">
        <is>
          <t>Sinclair, WY Denver, CO 204 6/10 27,600</t>
        </is>
      </c>
      <c r="K89" s="2" t="inlineStr"/>
      <c r="L89" s="2" t="inlineStr">
        <is>
          <t>Yes</t>
        </is>
      </c>
      <c r="M89" s="2" t="n">
        <v>1</v>
      </c>
    </row>
    <row r="90">
      <c r="A90" s="6" t="inlineStr">
        <is>
          <t>Refined products</t>
        </is>
      </c>
      <c r="B90" s="6" t="inlineStr">
        <is>
          <t>Sinclair, Casper to Sinclair</t>
        </is>
      </c>
      <c r="C90" s="6" t="inlineStr">
        <is>
          <t>Casper, WY to Sinclair, WY</t>
        </is>
      </c>
      <c r="D90" s="7" t="n">
        <v>21600</v>
      </c>
      <c r="E90" s="6" t="inlineStr">
        <is>
          <t>Capacity</t>
        </is>
      </c>
      <c r="F90" s="6" t="inlineStr">
        <is>
          <t>2017</t>
        </is>
      </c>
      <c r="G90" s="6" t="inlineStr">
        <is>
          <t>Official (EIA study)</t>
        </is>
      </c>
      <c r="H90" s="6" t="inlineStr">
        <is>
          <t>EIA, PADDs 2 and 4 Transportation Fuels Markets, Jan 2017, Table 44</t>
        </is>
      </c>
      <c r="I90" s="8" t="inlineStr">
        <is>
          <t>https://www.eia.gov/analysis/transportationfuels/padd2n4/pdf/transportation_fuels.pdf</t>
        </is>
      </c>
      <c r="J90" s="6" t="inlineStr">
        <is>
          <t>Sinclair Transportation Casper, WY Sinclair, WY N/A 8/12 21,600</t>
        </is>
      </c>
      <c r="K90" s="6" t="inlineStr">
        <is>
          <t>Bidirectional</t>
        </is>
      </c>
      <c r="L90" s="6" t="inlineStr">
        <is>
          <t>Yes</t>
        </is>
      </c>
      <c r="M90" s="6" t="n">
        <v>1</v>
      </c>
    </row>
    <row r="91">
      <c r="A91" s="2" t="inlineStr">
        <is>
          <t>Refined products</t>
        </is>
      </c>
      <c r="B91" s="2" t="inlineStr">
        <is>
          <t>Sinclair, Olathe to Carrollton and Iowa</t>
        </is>
      </c>
      <c r="C91" s="2" t="inlineStr">
        <is>
          <t>Olathe, KS to Carrollton, MO and Montrose, IA</t>
        </is>
      </c>
      <c r="D91" s="9" t="n">
        <v>15600</v>
      </c>
      <c r="E91" s="2" t="inlineStr">
        <is>
          <t>Throughput (Dec 2013)</t>
        </is>
      </c>
      <c r="F91" s="2" t="inlineStr">
        <is>
          <t>2013</t>
        </is>
      </c>
      <c r="G91" s="2" t="inlineStr">
        <is>
          <t>Official (EIA study)</t>
        </is>
      </c>
      <c r="H91" s="2" t="inlineStr">
        <is>
          <t>EIA, PADDs 2 and 4 Transportation Fuels Markets, Jan 2017, Table 37</t>
        </is>
      </c>
      <c r="I91" s="10" t="inlineStr">
        <is>
          <t>https://www.eia.gov/analysis/transportationfuels/padd2n4/pdf/transportation_fuels.pdf</t>
        </is>
      </c>
      <c r="J91" s="2" t="inlineStr">
        <is>
          <t>Sinclair Transportation Olathe, KS Carrollton, MO N/A 8 15,600 c [c Average volumes transported as of December 2013]</t>
        </is>
      </c>
      <c r="K91" s="2" t="inlineStr"/>
      <c r="L91" s="2" t="inlineStr">
        <is>
          <t>Yes</t>
        </is>
      </c>
      <c r="M91" s="2" t="n">
        <v>1</v>
      </c>
    </row>
    <row r="92">
      <c r="A92" s="6" t="inlineStr">
        <is>
          <t>Refined products</t>
        </is>
      </c>
      <c r="B92" s="6" t="inlineStr">
        <is>
          <t>Cenex Pipeline (CHS)</t>
        </is>
      </c>
      <c r="C92" s="6" t="inlineStr">
        <is>
          <t>Laurel, MT to Fargo, ND</t>
        </is>
      </c>
      <c r="D92" s="7" t="n">
        <v>46000</v>
      </c>
      <c r="E92" s="6" t="inlineStr">
        <is>
          <t>Throughput (2015)</t>
        </is>
      </c>
      <c r="F92" s="6" t="inlineStr">
        <is>
          <t>2015</t>
        </is>
      </c>
      <c r="G92" s="6" t="inlineStr">
        <is>
          <t>Official (EIA study)</t>
        </is>
      </c>
      <c r="H92" s="6" t="inlineStr">
        <is>
          <t>EIA, PADDs 2 and 4 Transportation Fuels Markets, Jan 2017, Table 44</t>
        </is>
      </c>
      <c r="I92" s="8" t="inlineStr">
        <is>
          <t>https://www.eia.gov/analysis/transportationfuels/padd2n4/pdf/transportation_fuels.pdf</t>
        </is>
      </c>
      <c r="J92" s="6" t="inlineStr">
        <is>
          <t>Cenex Pipeline Laurel, MT Fargo, ND 683 8/10 N/A 46,000</t>
        </is>
      </c>
      <c r="K92" s="6" t="inlineStr">
        <is>
          <t>Capacity not published; 2015 shipments</t>
        </is>
      </c>
      <c r="L92" s="6" t="inlineStr">
        <is>
          <t>Yes</t>
        </is>
      </c>
      <c r="M92" s="6" t="n">
        <v>1</v>
      </c>
    </row>
    <row r="93">
      <c r="A93" s="2" t="inlineStr">
        <is>
          <t>Refined products</t>
        </is>
      </c>
      <c r="B93" s="2" t="inlineStr">
        <is>
          <t>CHS McPherson to Council Bluffs</t>
        </is>
      </c>
      <c r="C93" s="2" t="inlineStr">
        <is>
          <t>McPherson, KS to Council Bluffs, IA</t>
        </is>
      </c>
      <c r="D93" s="9" t="n">
        <v>43000</v>
      </c>
      <c r="E93" s="2" t="inlineStr">
        <is>
          <t>Throughput (2015)</t>
        </is>
      </c>
      <c r="F93" s="2" t="inlineStr">
        <is>
          <t>2015</t>
        </is>
      </c>
      <c r="G93" s="2" t="inlineStr">
        <is>
          <t>Official (EIA study)</t>
        </is>
      </c>
      <c r="H93" s="2" t="inlineStr">
        <is>
          <t>EIA, PADDs 2 and 4 Transportation Fuels Markets, Jan 2017, Table 37</t>
        </is>
      </c>
      <c r="I93" s="10" t="inlineStr">
        <is>
          <t>https://www.eia.gov/analysis/transportationfuels/padd2n4/pdf/transportation_fuels.pdf</t>
        </is>
      </c>
      <c r="J93" s="2" t="inlineStr">
        <is>
          <t>CHS Council Bluffs Pipeline McPherson, KS Council Bluffs, IA 227 N/A 43,000 b [b Average volumes transported in 2015]</t>
        </is>
      </c>
      <c r="K93" s="2" t="inlineStr"/>
      <c r="L93" s="2" t="inlineStr">
        <is>
          <t>Yes</t>
        </is>
      </c>
      <c r="M93" s="2" t="n">
        <v>1</v>
      </c>
    </row>
    <row r="94">
      <c r="A94" s="6" t="inlineStr">
        <is>
          <t>Refined products</t>
        </is>
      </c>
      <c r="B94" s="6" t="inlineStr">
        <is>
          <t>Koch Wisconsin Pipeline</t>
        </is>
      </c>
      <c r="C94" s="6" t="inlineStr">
        <is>
          <t>Rosemount (Twin Cities), MN to Waupun and Milwaukee, WI</t>
        </is>
      </c>
      <c r="D94" s="7" t="n">
        <v>80000</v>
      </c>
      <c r="E94" s="6" t="inlineStr">
        <is>
          <t>Throughput (EIA estimate, 2015)</t>
        </is>
      </c>
      <c r="F94" s="6" t="inlineStr">
        <is>
          <t>2015</t>
        </is>
      </c>
      <c r="G94" s="6" t="inlineStr">
        <is>
          <t>Official (EIA study)</t>
        </is>
      </c>
      <c r="H94" s="6" t="inlineStr">
        <is>
          <t>EIA, PADDs 2 and 4 Transportation Fuels Markets, Jan 2017, Table 27</t>
        </is>
      </c>
      <c r="I94" s="8" t="inlineStr">
        <is>
          <t>https://www.eia.gov/analysis/transportationfuels/padd2n4/pdf/transportation_fuels.pdf</t>
        </is>
      </c>
      <c r="J94" s="6" t="inlineStr">
        <is>
          <t>Koch Pipeline Co. Rosemount, MN Waupun, WI 261 12/10 80,000 d [d Estimated as one-third of prime supplier sales volumes of gasoline and distillates in Wisconsin]</t>
        </is>
      </c>
      <c r="K94" s="6" t="inlineStr"/>
      <c r="L94" s="6" t="inlineStr">
        <is>
          <t>Yes</t>
        </is>
      </c>
      <c r="M94" s="6" t="n">
        <v>1</v>
      </c>
    </row>
    <row r="95">
      <c r="A95" s="2" t="inlineStr">
        <is>
          <t>Refined products</t>
        </is>
      </c>
      <c r="B95" s="2" t="inlineStr">
        <is>
          <t>West Shore Pipe Line</t>
        </is>
      </c>
      <c r="C95" s="2" t="inlineStr">
        <is>
          <t>Chicago area to Milwaukee and Green Bay, WI</t>
        </is>
      </c>
      <c r="D95" s="9" t="n">
        <v>326000</v>
      </c>
      <c r="E95" s="2" t="inlineStr">
        <is>
          <t>Throughput (2015, West Shore and Badger combined)</t>
        </is>
      </c>
      <c r="F95" s="2" t="inlineStr">
        <is>
          <t>2015</t>
        </is>
      </c>
      <c r="G95" s="2" t="inlineStr">
        <is>
          <t>Official (EIA study)</t>
        </is>
      </c>
      <c r="H95" s="2" t="inlineStr">
        <is>
          <t>EIA, PADDs 2 and 4 Transportation Fuels Markets, Jan 2017, Table 12</t>
        </is>
      </c>
      <c r="I95" s="10" t="inlineStr">
        <is>
          <t>https://www.eia.gov/analysis/transportationfuels/padd2n4/pdf/transportation_fuels.pdf</t>
        </is>
      </c>
      <c r="J95" s="2" t="inlineStr">
        <is>
          <t>West Shore Romeo, IL Busse Station, IL 36 16 326,000</t>
        </is>
      </c>
      <c r="K95" s="2" t="inlineStr">
        <is>
          <t>Shipments for the West Shore and Badger systems together; the segment north of Milwaukee was shut in 2016 for rebuilding</t>
        </is>
      </c>
      <c r="L95" s="2" t="inlineStr">
        <is>
          <t>Yes</t>
        </is>
      </c>
      <c r="M95" s="2" t="n">
        <v>1</v>
      </c>
    </row>
    <row r="96">
      <c r="A96" s="6" t="inlineStr">
        <is>
          <t>Refined products</t>
        </is>
      </c>
      <c r="B96" s="6" t="inlineStr">
        <is>
          <t>BP, Wood River to Milan</t>
        </is>
      </c>
      <c r="C96" s="6" t="inlineStr">
        <is>
          <t>Wood River, IL to Milan, MO</t>
        </is>
      </c>
      <c r="D96" s="7" t="n">
        <v>17000</v>
      </c>
      <c r="E96" s="6" t="inlineStr">
        <is>
          <t>Throughput (2015)</t>
        </is>
      </c>
      <c r="F96" s="6" t="inlineStr">
        <is>
          <t>2015</t>
        </is>
      </c>
      <c r="G96" s="6" t="inlineStr">
        <is>
          <t>Official (EIA study)</t>
        </is>
      </c>
      <c r="H96" s="6" t="inlineStr">
        <is>
          <t>EIA, PADDs 2 and 4 Transportation Fuels Markets, Jan 2017, Table 35</t>
        </is>
      </c>
      <c r="I96" s="8" t="inlineStr">
        <is>
          <t>https://www.eia.gov/analysis/transportationfuels/padd2n4/pdf/transportation_fuels.pdf</t>
        </is>
      </c>
      <c r="J96" s="6" t="inlineStr">
        <is>
          <t>Wood River, IL Milan, MO N/A N/A 17,000</t>
        </is>
      </c>
      <c r="K96" s="6" t="inlineStr"/>
      <c r="L96" s="6" t="inlineStr">
        <is>
          <t>Yes</t>
        </is>
      </c>
      <c r="M96" s="6" t="n">
        <v>1</v>
      </c>
    </row>
  </sheetData>
  <autoFilter ref="A1:M9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2026-09-28T20:45:24Z</dcterms:created>
  <dcterms:modified xsi:type="dcterms:W3CDTF">2026-09-28T20:45:24Z</dcterms:modified>
</cp:coreProperties>
</file>