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sheetId="1" state="visible" r:id="rId1"/>
    <sheet name="Pipelines" sheetId="2" state="visible" r:id="rId2"/>
  </sheets>
  <definedNames>
    <definedName name="_xlnm._FilterDatabase" localSheetId="1" hidden="1">'Pipelines'!$A$1:$M$48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1155CC"/>
      <sz val="10"/>
      <u val="single"/>
    </font>
    <font>
      <name val="Arial"/>
      <b val="1"/>
      <sz val="14"/>
    </font>
    <font>
      <name val="Arial"/>
      <b val="1"/>
      <sz val="10"/>
    </font>
  </fonts>
  <fills count="4">
    <fill>
      <patternFill/>
    </fill>
    <fill>
      <patternFill patternType="gray125"/>
    </fill>
    <fill>
      <patternFill patternType="solid">
        <fgColor rgb="001B3A5C"/>
      </patternFill>
    </fill>
    <fill>
      <patternFill patternType="solid">
        <fgColor rgb="00F7F0F1"/>
      </patternFill>
    </fill>
  </fills>
  <borders count="1">
    <border>
      <left/>
      <right/>
      <top/>
      <bottom/>
      <diagonal/>
    </border>
  </borders>
  <cellStyleXfs count="1">
    <xf numFmtId="0" fontId="0" fillId="0" borderId="0"/>
  </cellStyleXfs>
  <cellXfs count="11">
    <xf numFmtId="0" fontId="0" fillId="0" borderId="0" pivotButton="0" quotePrefix="0" xfId="0"/>
    <xf numFmtId="0" fontId="4"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3" fontId="2"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top" wrapText="1"/>
    </xf>
    <xf numFmtId="3" fontId="2" fillId="3" borderId="0" applyAlignment="1" pivotButton="0" quotePrefix="0" xfId="0">
      <alignment vertical="top" wrapText="1"/>
    </xf>
    <xf numFmtId="0" fontId="3" fillId="3" borderId="0" applyAlignment="1" pivotButton="0" quotePrefix="0" xfId="0">
      <alignment vertical="top" wrapText="1"/>
    </xf>
    <xf numFmtId="3"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eia.gov/petroleum/weekly/archive/2022/220615/includes/analysis_print.php" TargetMode="External" Id="rId1" /><Relationship Type="http://schemas.openxmlformats.org/officeDocument/2006/relationships/hyperlink" Target="https://www.mckinseyenergyinsights.com/resources/refinery-reference-desk/colonial-pipeline/" TargetMode="External" Id="rId2" /><Relationship Type="http://schemas.openxmlformats.org/officeDocument/2006/relationships/hyperlink" Target="https://www.eia.gov/petroleum/weekly/archive/2022/220615/includes/analysis_print.php" TargetMode="External" Id="rId3" /><Relationship Type="http://schemas.openxmlformats.org/officeDocument/2006/relationships/hyperlink" Target="https://www.sec.gov/Archives/edgar/data/1534701/000153470126000006/psx-20251231.htm" TargetMode="External" Id="rId4" /><Relationship Type="http://schemas.openxmlformats.org/officeDocument/2006/relationships/hyperlink" Target="https://www.expl.com/2205-2/" TargetMode="External" Id="rId5" /><Relationship Type="http://schemas.openxmlformats.org/officeDocument/2006/relationships/hyperlink" Target="https://www.sec.gov/Archives/edgar/data/1534701/000153470126000006/psx-20251231.htm" TargetMode="External" Id="rId6" /><Relationship Type="http://schemas.openxmlformats.org/officeDocument/2006/relationships/hyperlink" Target="https://www.sec.gov/Archives/edgar/data/1534701/000153470126000006/psx-20251231.htm" TargetMode="External" Id="rId7" /><Relationship Type="http://schemas.openxmlformats.org/officeDocument/2006/relationships/hyperlink" Target="https://www.sec.gov/Archives/edgar/data/1534701/000153470126000006/psx-20251231.htm" TargetMode="External" Id="rId8" /><Relationship Type="http://schemas.openxmlformats.org/officeDocument/2006/relationships/hyperlink" Target="https://www.sec.gov/Archives/edgar/data/1534701/000153470126000006/psx-20251231.htm" TargetMode="External" Id="rId9" /><Relationship Type="http://schemas.openxmlformats.org/officeDocument/2006/relationships/hyperlink" Target="https://www.sec.gov/Archives/edgar/data/1283140/000128314021000012/hfc-20201231.htm" TargetMode="External" Id="rId10" /><Relationship Type="http://schemas.openxmlformats.org/officeDocument/2006/relationships/hyperlink" Target="https://www.sec.gov/Archives/edgar/data/1507615/000150761513000038/tllpex991pressrelease.htm" TargetMode="External" Id="rId11" /><Relationship Type="http://schemas.openxmlformats.org/officeDocument/2006/relationships/hyperlink" Target="https://wolverinepipeline.com/who-is-wolverine-pipe-line-company/" TargetMode="External" Id="rId12" /><Relationship Type="http://schemas.openxmlformats.org/officeDocument/2006/relationships/hyperlink" Target="https://www.goskagit.com/news/local_news/work-planned-for-olympic-pipeline/article_e21abba8-d69e-5735-bace-223d07386733.html" TargetMode="External" Id="rId13" /><Relationship Type="http://schemas.openxmlformats.org/officeDocument/2006/relationships/hyperlink" Target="https://www.gem.wiki/Laurel_Pipeline" TargetMode="External" Id="rId14" /><Relationship Type="http://schemas.openxmlformats.org/officeDocument/2006/relationships/hyperlink" Target="https://www.gem.wiki/Calnev_Oil_Products_Pipeline" TargetMode="External" Id="rId15" /><Relationship Type="http://schemas.openxmlformats.org/officeDocument/2006/relationships/hyperlink" Target="https://www.power-eng.com/operations-maintenance/centennial-pipeline-announces-beginning-of-full-operation/" TargetMode="External" Id="rId16" /><Relationship Type="http://schemas.openxmlformats.org/officeDocument/2006/relationships/hyperlink" Target="https://kindermorgan.com/Operations/Products/Index" TargetMode="External" Id="rId17" /><Relationship Type="http://schemas.openxmlformats.org/officeDocument/2006/relationships/hyperlink" Target="https://www.sec.gov/Archives/edgar/data/1126975/000112697523000064/mmp-20221231.htm" TargetMode="External" Id="rId18" /><Relationship Type="http://schemas.openxmlformats.org/officeDocument/2006/relationships/hyperlink" Target="https://www.sec.gov/Archives/edgar/data/895728/000119312526049810/enb-20251231.htm" TargetMode="External" Id="rId19" /><Relationship Type="http://schemas.openxmlformats.org/officeDocument/2006/relationships/hyperlink" Target="https://www.eia.gov/petroleum/xls/EIA_LiqPipProject.xlsx" TargetMode="External" Id="rId20" /><Relationship Type="http://schemas.openxmlformats.org/officeDocument/2006/relationships/hyperlink" Target="https://www.enbridge.com/projects-and-infrastructure/public-awareness/line-5-answering-your-questions/what-is-line-5" TargetMode="External" Id="rId21" /><Relationship Type="http://schemas.openxmlformats.org/officeDocument/2006/relationships/hyperlink" Target="https://www.eia.gov/petroleum/xls/EIA_LiqPipProject.xlsx" TargetMode="External" Id="rId22" /><Relationship Type="http://schemas.openxmlformats.org/officeDocument/2006/relationships/hyperlink" Target="https://www.eia.gov/petroleum/xls/EIA_LiqPipProject.xlsx" TargetMode="External" Id="rId23" /><Relationship Type="http://schemas.openxmlformats.org/officeDocument/2006/relationships/hyperlink" Target="https://www.sec.gov/Archives/edgar/data/895728/000119312526049810/enb-20251231.htm" TargetMode="External" Id="rId24" /><Relationship Type="http://schemas.openxmlformats.org/officeDocument/2006/relationships/hyperlink" Target="https://www.eia.gov/petroleum/xls/EIA_LiqPipProject.xlsx" TargetMode="External" Id="rId25" /><Relationship Type="http://schemas.openxmlformats.org/officeDocument/2006/relationships/hyperlink" Target="https://www.sec.gov/Archives/edgar/data/895728/000119312526049810/enb-20251231.htm" TargetMode="External" Id="rId26" /><Relationship Type="http://schemas.openxmlformats.org/officeDocument/2006/relationships/hyperlink" Target="https://www.sec.gov/Archives/edgar/data/895728/000119312526049810/enb-20251231.htm" TargetMode="External" Id="rId27" /><Relationship Type="http://schemas.openxmlformats.org/officeDocument/2006/relationships/hyperlink" Target="https://www.eia.gov/petroleum/xls/EIA_LiqPipProject.xlsx" TargetMode="External" Id="rId28" /><Relationship Type="http://schemas.openxmlformats.org/officeDocument/2006/relationships/hyperlink" Target="https://www.eia.gov/petroleum/xls/EIA_LiqPipProject.xlsx" TargetMode="External" Id="rId29" /><Relationship Type="http://schemas.openxmlformats.org/officeDocument/2006/relationships/hyperlink" Target="https://www.sec.gov/Archives/edgar/data/895728/000119312526049810/enb-20251231.htm" TargetMode="External" Id="rId30" /><Relationship Type="http://schemas.openxmlformats.org/officeDocument/2006/relationships/hyperlink" Target="https://www.sec.gov/Archives/edgar/data/895728/000119312526049810/enb-20251231.htm" TargetMode="External" Id="rId31" /><Relationship Type="http://schemas.openxmlformats.org/officeDocument/2006/relationships/hyperlink" Target="https://www.eia.gov/petroleum/xls/EIA_LiqPipProject.xlsx" TargetMode="External" Id="rId32" /><Relationship Type="http://schemas.openxmlformats.org/officeDocument/2006/relationships/hyperlink" Target="https://www.sec.gov/Archives/edgar/data/1070423/000107042326000014/paa-20251231.htm" TargetMode="External" Id="rId33" /><Relationship Type="http://schemas.openxmlformats.org/officeDocument/2006/relationships/hyperlink" Target="https://www.sec.gov/Archives/edgar/data/1061219/000106121926000006/epd-20251231.htm" TargetMode="External" Id="rId34" /><Relationship Type="http://schemas.openxmlformats.org/officeDocument/2006/relationships/hyperlink" Target="https://www.sec.gov/Archives/edgar/data/1534701/000153470126000006/psx-20251231.htm" TargetMode="External" Id="rId35" /><Relationship Type="http://schemas.openxmlformats.org/officeDocument/2006/relationships/hyperlink" Target="https://www.sec.gov/Archives/edgar/data/1070423/000107042326000014/paa-20251231.htm" TargetMode="External" Id="rId36" /><Relationship Type="http://schemas.openxmlformats.org/officeDocument/2006/relationships/hyperlink" Target="https://www.eia.gov/petroleum/xls/EIA_LiqPipProject.xlsx" TargetMode="External" Id="rId37" /><Relationship Type="http://schemas.openxmlformats.org/officeDocument/2006/relationships/hyperlink" Target="https://www.sec.gov/Archives/edgar/data/1070423/000107042326000014/paa-20251231.htm" TargetMode="External" Id="rId38" /><Relationship Type="http://schemas.openxmlformats.org/officeDocument/2006/relationships/hyperlink" Target="https://www.eia.gov/petroleum/xls/EIA_LiqPipProject.xlsx" TargetMode="External" Id="rId39" /><Relationship Type="http://schemas.openxmlformats.org/officeDocument/2006/relationships/hyperlink" Target="https://www.eia.gov/petroleum/xls/EIA_LiqPipProject.xlsx" TargetMode="External" Id="rId40" /><Relationship Type="http://schemas.openxmlformats.org/officeDocument/2006/relationships/hyperlink" Target="https://www.sec.gov/Archives/edgar/data/1061219/000106121926000006/epd-20251231.htm" TargetMode="External" Id="rId41" /><Relationship Type="http://schemas.openxmlformats.org/officeDocument/2006/relationships/hyperlink" Target="https://www.sec.gov/Archives/edgar/data/1070423/000107042326000014/paa-20251231.htm" TargetMode="External" Id="rId42" /><Relationship Type="http://schemas.openxmlformats.org/officeDocument/2006/relationships/hyperlink" Target="https://www.sec.gov/Archives/edgar/data/1534701/000153470126000006/psx-20251231.htm" TargetMode="External" Id="rId43" /><Relationship Type="http://schemas.openxmlformats.org/officeDocument/2006/relationships/hyperlink" Target="https://www.eia.gov/petroleum/xls/EIA_LiqPipProject.xlsx" TargetMode="External" Id="rId44" /><Relationship Type="http://schemas.openxmlformats.org/officeDocument/2006/relationships/hyperlink" Target="https://www.eia.gov/petroleum/xls/EIA_LiqPipProject.xlsx" TargetMode="External" Id="rId45" /><Relationship Type="http://schemas.openxmlformats.org/officeDocument/2006/relationships/hyperlink" Target="https://www.sec.gov/Archives/edgar/data/1534701/000153470126000006/psx-20251231.htm" TargetMode="External" Id="rId46" /><Relationship Type="http://schemas.openxmlformats.org/officeDocument/2006/relationships/hyperlink" Target="https://www.gem.wiki/Mid-Valley_Oil_Pipeline" TargetMode="External" Id="rId47" /></Relationships>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100" customWidth="1" min="1" max="1"/>
    <col width="18" customWidth="1" min="2" max="2"/>
  </cols>
  <sheetData>
    <row r="1">
      <c r="A1" s="1" t="inlineStr">
        <is>
          <t>US fuel pipelines: capacity and sources</t>
        </is>
      </c>
    </row>
    <row r="2">
      <c r="A2" s="2" t="inlineStr"/>
    </row>
    <row r="3">
      <c r="A3" s="3" t="inlineStr">
        <is>
          <t>What this is</t>
        </is>
      </c>
    </row>
    <row r="4">
      <c r="A4" s="2" t="inlineStr">
        <is>
          <t>The main US refined-product and crude oil trunk pipelines on the map, with the capacity used for each line's width and where that number comes from.</t>
        </is>
      </c>
    </row>
    <row r="5">
      <c r="A5" s="2" t="inlineStr"/>
    </row>
    <row r="6">
      <c r="A6" s="3" t="inlineStr">
        <is>
          <t>How to read it</t>
        </is>
      </c>
    </row>
    <row r="7">
      <c r="A7" s="2" t="inlineStr">
        <is>
          <t>Capacity (b/d): barrels per day. For refined-product lines it covers every product the line carries (gasoline, diesel, jet fuel), not diesel alone.</t>
        </is>
      </c>
    </row>
    <row r="8">
      <c r="A8" s="2" t="inlineStr">
        <is>
          <t>Measure: 'Capacity' unless stated. Two lines show throughput (actual volume) because the operator publishes no capacity; one is derived from two published figures, and the arithmetic is in its notes.</t>
        </is>
      </c>
    </row>
    <row r="9">
      <c r="A9" s="2" t="inlineStr">
        <is>
          <t>Source type: Official (EIA), Company SEC filing (10-K), Company website, Derived, Industry reference, or Press. Press figures could not be confirmed from an operator or official document, so those lines are drawn thin. The one Industry reference (Colonial north of Greensboro, NC) is drawn, because EIA publishes no figure for that stretch and a thin line would show Colonial ending in North Carolina.</t>
        </is>
      </c>
    </row>
    <row r="10">
      <c r="A10" s="2" t="inlineStr">
        <is>
          <t>Width on map: 'No (thin)' lines appear on the map at a fixed thin width.</t>
        </is>
      </c>
    </row>
    <row r="11">
      <c r="A11" s="2" t="inlineStr"/>
    </row>
    <row r="12">
      <c r="A12" s="3" t="inlineStr">
        <is>
          <t>Summary</t>
        </is>
      </c>
    </row>
    <row r="13">
      <c r="A13" s="2" t="inlineStr">
        <is>
          <t>Lines listed</t>
        </is>
      </c>
      <c r="B13" s="4">
        <f>COUNTA(Pipelines!B2:B48)</f>
        <v/>
      </c>
    </row>
    <row r="14">
      <c r="A14" s="2" t="inlineStr">
        <is>
          <t>Drawn with width</t>
        </is>
      </c>
      <c r="B14" s="4">
        <f>COUNTIF(Pipelines!L2:L48,"Yes")</f>
        <v/>
      </c>
    </row>
    <row r="15">
      <c r="A15" s="2" t="inlineStr">
        <is>
          <t>Refined-product capacity drawn (b/d)</t>
        </is>
      </c>
      <c r="B15" s="4">
        <f>SUMIFS(Pipelines!D2:D48,Pipelines!A2:A48,"Refined products",Pipelines!L2:L48,"Yes")</f>
        <v/>
      </c>
    </row>
    <row r="16">
      <c r="A16" s="2" t="inlineStr">
        <is>
          <t>Crude capacity drawn (b/d)</t>
        </is>
      </c>
      <c r="B16" s="4">
        <f>SUMIFS(Pipelines!D2:D48,Pipelines!A2:A48,"Crude oil",Pipelines!L2:L48,"Yes")</f>
        <v/>
      </c>
    </row>
    <row r="17">
      <c r="A17" s="2" t="inlineStr"/>
    </row>
    <row r="18">
      <c r="A18" s="2" t="inlineStr">
        <is>
          <t>Routes: EIA refined-product and crude oil trunk pipeline layers, as republished on the federal HIFLD open-data service (scripts/fetch_pipelines.py).</t>
        </is>
      </c>
    </row>
    <row r="19">
      <c r="A19" s="2" t="inlineStr">
        <is>
          <t>Built by scripts/process_pipeline_map.py from data/pipelines/pipeline_capacity.csv.</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40" customWidth="1" min="3" max="3"/>
    <col width="15" customWidth="1" min="4" max="4"/>
    <col width="24" customWidth="1" min="5" max="5"/>
    <col width="8" customWidth="1" min="6" max="6"/>
    <col width="22" customWidth="1" min="7" max="7"/>
    <col width="44" customWidth="1" min="8" max="8"/>
    <col width="50" customWidth="1" min="9" max="9"/>
    <col width="60" customWidth="1" min="10" max="10"/>
    <col width="60" customWidth="1" min="11" max="11"/>
    <col width="13" customWidth="1" min="12" max="12"/>
    <col width="12" customWidth="1" min="13" max="13"/>
  </cols>
  <sheetData>
    <row r="1" ht="30" customHeight="1">
      <c r="A1" s="5" t="inlineStr">
        <is>
          <t>Layer</t>
        </is>
      </c>
      <c r="B1" s="5" t="inlineStr">
        <is>
          <t>Pipeline</t>
        </is>
      </c>
      <c r="C1" s="5" t="inlineStr">
        <is>
          <t>Route</t>
        </is>
      </c>
      <c r="D1" s="5" t="inlineStr">
        <is>
          <t>Capacity (b/d)</t>
        </is>
      </c>
      <c r="E1" s="5" t="inlineStr">
        <is>
          <t>Measure</t>
        </is>
      </c>
      <c r="F1" s="5" t="inlineStr">
        <is>
          <t>As of</t>
        </is>
      </c>
      <c r="G1" s="5" t="inlineStr">
        <is>
          <t>Source type</t>
        </is>
      </c>
      <c r="H1" s="5" t="inlineStr">
        <is>
          <t>Source</t>
        </is>
      </c>
      <c r="I1" s="5" t="inlineStr">
        <is>
          <t>Link</t>
        </is>
      </c>
      <c r="J1" s="5" t="inlineStr">
        <is>
          <t>Quote from source</t>
        </is>
      </c>
      <c r="K1" s="5" t="inlineStr">
        <is>
          <t>Notes</t>
        </is>
      </c>
      <c r="L1" s="5" t="inlineStr">
        <is>
          <t>Width on map</t>
        </is>
      </c>
      <c r="M1" s="5" t="inlineStr">
        <is>
          <t>EIA route segments</t>
        </is>
      </c>
    </row>
    <row r="2">
      <c r="A2" s="6" t="inlineStr">
        <is>
          <t>Refined products</t>
        </is>
      </c>
      <c r="B2" s="6" t="inlineStr">
        <is>
          <t>Colonial Pipeline, Houston to Greensboro (Lines 1 and 2)</t>
        </is>
      </c>
      <c r="C2" s="6" t="inlineStr">
        <is>
          <t>Houston, TX to Greensboro, NC</t>
        </is>
      </c>
      <c r="D2" s="7" t="n">
        <v>2500000</v>
      </c>
      <c r="E2" s="6" t="inlineStr">
        <is>
          <t>Capacity</t>
        </is>
      </c>
      <c r="F2" s="6" t="inlineStr">
        <is>
          <t>2022</t>
        </is>
      </c>
      <c r="G2" s="6" t="inlineStr">
        <is>
          <t>Official (EIA)</t>
        </is>
      </c>
      <c r="H2" s="6" t="inlineStr">
        <is>
          <t>EIA, This Week in Petroleum, 15 Jun 2022</t>
        </is>
      </c>
      <c r="I2" s="8" t="inlineStr">
        <is>
          <t>https://www.eia.gov/petroleum/weekly/archive/2022/220615/includes/analysis_print.php</t>
        </is>
      </c>
      <c r="J2" s="6" t="inlineStr">
        <is>
          <t>Transportation fuels markets in the Gulf Coast and East Coast are linked primarily by the 2.5 million b/d Colonial Pipeline and by the 720,000 b/d Products (SE) Pipeline (formerly known as the Plantation Pipeline).</t>
        </is>
      </c>
      <c r="K2" s="6" t="inlineStr">
        <is>
          <t>Line 1 carries about 1.4M b/d of gasoline and Line 2 about 1.1M b/d of diesel, heating oil and jet fuel (EIA, This Week in Petroleum, 21 Sep 2016: https://www.eia.gov/petroleum/weekly/archive/2016/160921/includes/analysis_print.php). Drawn on the mainline only; laterals are thin</t>
        </is>
      </c>
      <c r="L2" s="6" t="inlineStr">
        <is>
          <t>Yes</t>
        </is>
      </c>
      <c r="M2" s="6" t="n">
        <v>1</v>
      </c>
    </row>
    <row r="3">
      <c r="A3" s="2" t="inlineStr">
        <is>
          <t>Refined products</t>
        </is>
      </c>
      <c r="B3" s="2" t="inlineStr">
        <is>
          <t>Colonial Pipeline, Greensboro to New York Harbor (Lines 3 and 4)</t>
        </is>
      </c>
      <c r="C3" s="2" t="inlineStr">
        <is>
          <t>Greensboro, NC to Baltimore, MD (Line 4) and Linden, NJ (Line 3)</t>
        </is>
      </c>
      <c r="D3" s="9" t="n">
        <v>1585000</v>
      </c>
      <c r="E3" s="2" t="inlineStr">
        <is>
          <t>Capacity (Line 3 885k + Line 4 700k)</t>
        </is>
      </c>
      <c r="F3" s="2" t="inlineStr"/>
      <c r="G3" s="2" t="inlineStr">
        <is>
          <t>Industry reference (not directly verified)</t>
        </is>
      </c>
      <c r="H3" s="2" t="inlineStr">
        <is>
          <t>McKinsey Energy Insights, Refinery Reference Desk: Colonial pipeline</t>
        </is>
      </c>
      <c r="I3" s="10" t="inlineStr">
        <is>
          <t>https://www.mckinseyenergyinsights.com/resources/refinery-reference-desk/colonial-pipeline/</t>
        </is>
      </c>
      <c r="J3" s="2" t="inlineStr"/>
      <c r="K3" s="2" t="inlineStr">
        <is>
          <t>The page could not be opened to confirm; figures as indexed by search: Line 3 885,000 b/d Greensboro to Linden, Line 4 700,000 b/d Greensboro to Baltimore. EIA gives no official figure north of Greensboro. Drawn at their sum so the line is not shown ending in North Carolina</t>
        </is>
      </c>
      <c r="L3" s="2" t="inlineStr">
        <is>
          <t>Yes</t>
        </is>
      </c>
      <c r="M3" s="2" t="n">
        <v>1</v>
      </c>
    </row>
    <row r="4">
      <c r="A4" s="6" t="inlineStr">
        <is>
          <t>Refined products</t>
        </is>
      </c>
      <c r="B4" s="6" t="inlineStr">
        <is>
          <t>Plantation Pipe Line</t>
        </is>
      </c>
      <c r="C4" s="6" t="inlineStr">
        <is>
          <t>Baton Rouge, LA to Washington, DC area</t>
        </is>
      </c>
      <c r="D4" s="7" t="n">
        <v>720000</v>
      </c>
      <c r="E4" s="6" t="inlineStr">
        <is>
          <t>Capacity</t>
        </is>
      </c>
      <c r="F4" s="6" t="inlineStr">
        <is>
          <t>2022</t>
        </is>
      </c>
      <c r="G4" s="6" t="inlineStr">
        <is>
          <t>Official (EIA)</t>
        </is>
      </c>
      <c r="H4" s="6" t="inlineStr">
        <is>
          <t>EIA, This Week in Petroleum, 15 Jun 2022</t>
        </is>
      </c>
      <c r="I4" s="8" t="inlineStr">
        <is>
          <t>https://www.eia.gov/petroleum/weekly/archive/2022/220615/includes/analysis_print.php</t>
        </is>
      </c>
      <c r="J4" s="6" t="inlineStr">
        <is>
          <t>... and by the 720,000 b/d Products (SE) Pipeline (formerly known as the Plantation Pipeline).</t>
        </is>
      </c>
      <c r="K4" s="6" t="inlineStr">
        <is>
          <t>Now called the Products (SE) Pipeline. Earlier: about 710,000 b/d after a 2001 expansion (Kinder Morgan Energy Partners 10-K405 for 2001: https://www.sec.gov/Archives/edgar/data/888228/000095012902000816/h94309e10-k405.txt). Drawn on the mainline only; laterals are thin</t>
        </is>
      </c>
      <c r="L4" s="6" t="inlineStr">
        <is>
          <t>Yes</t>
        </is>
      </c>
      <c r="M4" s="6" t="n">
        <v>1</v>
      </c>
    </row>
    <row r="5">
      <c r="A5" s="2" t="inlineStr">
        <is>
          <t>Refined products</t>
        </is>
      </c>
      <c r="B5" s="2" t="inlineStr">
        <is>
          <t>Explorer Pipeline (Houston to Tulsa and Wood River)</t>
        </is>
      </c>
      <c r="C5" s="2" t="inlineStr">
        <is>
          <t>Port Arthur/Houston, TX to Tulsa, OK and Wood River, IL</t>
        </is>
      </c>
      <c r="D5" s="9" t="n">
        <v>660000</v>
      </c>
      <c r="E5" s="2" t="inlineStr">
        <is>
          <t>Capacity</t>
        </is>
      </c>
      <c r="F5" s="2" t="inlineStr">
        <is>
          <t>2025</t>
        </is>
      </c>
      <c r="G5" s="2" t="inlineStr">
        <is>
          <t>Company SEC filing</t>
        </is>
      </c>
      <c r="H5" s="2" t="inlineStr">
        <is>
          <t>Phillips 66, Form 10-K for 2025 (pipeline table: Explorer, 660 MB/D gross capacity); Explorer Pipeline history page</t>
        </is>
      </c>
      <c r="I5" s="10" t="inlineStr">
        <is>
          <t>https://www.sec.gov/Archives/edgar/data/1534701/000153470126000006/psx-20251231.htm</t>
        </is>
      </c>
      <c r="J5" s="2" t="inlineStr">
        <is>
          <t>Explorer Texas/Indiana 22 1,830 660 [interest %, miles, gross capacity MB/D]</t>
        </is>
      </c>
      <c r="K5" s="2" t="inlineStr">
        <is>
          <t>Explorer: southern system (Houston to Tulsa) 660,000 b/d; northern system (Tulsa to Hammond) 450,000 b/d (https://www.expl.com/2205-2/). The EIA route runs through to Wood River as one line, drawn at the southern figure</t>
        </is>
      </c>
      <c r="L5" s="2" t="inlineStr">
        <is>
          <t>Yes</t>
        </is>
      </c>
      <c r="M5" s="2" t="n">
        <v>1</v>
      </c>
    </row>
    <row r="6">
      <c r="A6" s="6" t="inlineStr">
        <is>
          <t>Refined products</t>
        </is>
      </c>
      <c r="B6" s="6" t="inlineStr">
        <is>
          <t>Explorer Pipeline (Wood River to Hammond)</t>
        </is>
      </c>
      <c r="C6" s="6" t="inlineStr">
        <is>
          <t>Wood River, IL to Hammond, IN (Chicago)</t>
        </is>
      </c>
      <c r="D6" s="7" t="n">
        <v>450000</v>
      </c>
      <c r="E6" s="6" t="inlineStr">
        <is>
          <t>Capacity</t>
        </is>
      </c>
      <c r="F6" s="6" t="inlineStr">
        <is>
          <t>2025</t>
        </is>
      </c>
      <c r="G6" s="6" t="inlineStr">
        <is>
          <t>Company website</t>
        </is>
      </c>
      <c r="H6" s="6" t="inlineStr">
        <is>
          <t>Explorer Pipeline Company: Our History</t>
        </is>
      </c>
      <c r="I6" s="8" t="inlineStr">
        <is>
          <t>https://www.expl.com/2205-2/</t>
        </is>
      </c>
      <c r="J6" s="6" t="inlineStr">
        <is>
          <t>The northern system currently has a capacity of 450,000 barrels per day</t>
        </is>
      </c>
      <c r="K6" s="6" t="inlineStr"/>
      <c r="L6" s="6" t="inlineStr">
        <is>
          <t>Yes</t>
        </is>
      </c>
      <c r="M6" s="6" t="n">
        <v>1</v>
      </c>
    </row>
    <row r="7">
      <c r="A7" s="2" t="inlineStr">
        <is>
          <t>Refined products</t>
        </is>
      </c>
      <c r="B7" s="2" t="inlineStr">
        <is>
          <t>Gold Line</t>
        </is>
      </c>
      <c r="C7" s="2" t="inlineStr">
        <is>
          <t>Borger, TX to East St. Louis, IL</t>
        </is>
      </c>
      <c r="D7" s="9" t="n">
        <v>120000</v>
      </c>
      <c r="E7" s="2" t="inlineStr">
        <is>
          <t>Capacity</t>
        </is>
      </c>
      <c r="F7" s="2" t="inlineStr">
        <is>
          <t>2025</t>
        </is>
      </c>
      <c r="G7" s="2" t="inlineStr">
        <is>
          <t>Company SEC filing</t>
        </is>
      </c>
      <c r="H7" s="2" t="inlineStr">
        <is>
          <t>Phillips 66, Form 10-K for 2025, pipeline table</t>
        </is>
      </c>
      <c r="I7" s="10" t="inlineStr">
        <is>
          <t>https://www.sec.gov/Archives/edgar/data/1534701/000153470126000006/psx-20251231.htm</t>
        </is>
      </c>
      <c r="J7" s="2" t="inlineStr">
        <is>
          <t>Gold Line Texas/Illinois 100 686 120</t>
        </is>
      </c>
      <c r="K7" s="2" t="inlineStr"/>
      <c r="L7" s="2" t="inlineStr">
        <is>
          <t>Yes</t>
        </is>
      </c>
      <c r="M7" s="2" t="n">
        <v>1</v>
      </c>
    </row>
    <row r="8">
      <c r="A8" s="6" t="inlineStr">
        <is>
          <t>Refined products</t>
        </is>
      </c>
      <c r="B8" s="6" t="inlineStr">
        <is>
          <t>Yellowstone Pipeline</t>
        </is>
      </c>
      <c r="C8" s="6" t="inlineStr">
        <is>
          <t>Billings, MT to Spokane/Moses Lake, WA</t>
        </is>
      </c>
      <c r="D8" s="7" t="n">
        <v>68000</v>
      </c>
      <c r="E8" s="6" t="inlineStr">
        <is>
          <t>Capacity</t>
        </is>
      </c>
      <c r="F8" s="6" t="inlineStr">
        <is>
          <t>2025</t>
        </is>
      </c>
      <c r="G8" s="6" t="inlineStr">
        <is>
          <t>Company SEC filing</t>
        </is>
      </c>
      <c r="H8" s="6" t="inlineStr">
        <is>
          <t>Phillips 66, Form 10-K for 2025, pipeline table</t>
        </is>
      </c>
      <c r="I8" s="8" t="inlineStr">
        <is>
          <t>https://www.sec.gov/Archives/edgar/data/1534701/000153470126000006/psx-20251231.htm</t>
        </is>
      </c>
      <c r="J8" s="6" t="inlineStr">
        <is>
          <t>Yellowstone Montana/Washington 46 710 68</t>
        </is>
      </c>
      <c r="K8" s="6" t="inlineStr"/>
      <c r="L8" s="6" t="inlineStr">
        <is>
          <t>Yes</t>
        </is>
      </c>
      <c r="M8" s="6" t="n">
        <v>2</v>
      </c>
    </row>
    <row r="9">
      <c r="A9" s="2" t="inlineStr">
        <is>
          <t>Refined products</t>
        </is>
      </c>
      <c r="B9" s="2" t="inlineStr">
        <is>
          <t>Pioneer Pipeline</t>
        </is>
      </c>
      <c r="C9" s="2" t="inlineStr">
        <is>
          <t>Sinclair, WY to Salt Lake City, UT</t>
        </is>
      </c>
      <c r="D9" s="9" t="n">
        <v>63000</v>
      </c>
      <c r="E9" s="2" t="inlineStr">
        <is>
          <t>Capacity</t>
        </is>
      </c>
      <c r="F9" s="2" t="inlineStr">
        <is>
          <t>2025</t>
        </is>
      </c>
      <c r="G9" s="2" t="inlineStr">
        <is>
          <t>Company SEC filing</t>
        </is>
      </c>
      <c r="H9" s="2" t="inlineStr">
        <is>
          <t>Phillips 66, Form 10-K for 2025, pipeline table</t>
        </is>
      </c>
      <c r="I9" s="10" t="inlineStr">
        <is>
          <t>https://www.sec.gov/Archives/edgar/data/1534701/000153470126000006/psx-20251231.htm</t>
        </is>
      </c>
      <c r="J9" s="2" t="inlineStr">
        <is>
          <t>Pioneer Wyoming/Utah 50 562 63</t>
        </is>
      </c>
      <c r="K9" s="2" t="inlineStr"/>
      <c r="L9" s="2" t="inlineStr">
        <is>
          <t>Yes</t>
        </is>
      </c>
      <c r="M9" s="2" t="n">
        <v>1</v>
      </c>
    </row>
    <row r="10">
      <c r="A10" s="6" t="inlineStr">
        <is>
          <t>Refined products</t>
        </is>
      </c>
      <c r="B10" s="6" t="inlineStr">
        <is>
          <t>Borger to Denver</t>
        </is>
      </c>
      <c r="C10" s="6" t="inlineStr">
        <is>
          <t>Borger, TX to Denver, CO</t>
        </is>
      </c>
      <c r="D10" s="7" t="n">
        <v>39000</v>
      </c>
      <c r="E10" s="6" t="inlineStr">
        <is>
          <t>Capacity</t>
        </is>
      </c>
      <c r="F10" s="6" t="inlineStr">
        <is>
          <t>2025</t>
        </is>
      </c>
      <c r="G10" s="6" t="inlineStr">
        <is>
          <t>Company SEC filing</t>
        </is>
      </c>
      <c r="H10" s="6" t="inlineStr">
        <is>
          <t>Phillips 66, Form 10-K for 2025, pipeline table</t>
        </is>
      </c>
      <c r="I10" s="8" t="inlineStr">
        <is>
          <t>https://www.sec.gov/Archives/edgar/data/1534701/000153470126000006/psx-20251231.htm</t>
        </is>
      </c>
      <c r="J10" s="6" t="inlineStr">
        <is>
          <t>Borger-Denver Texas/Colorado 65 207 39</t>
        </is>
      </c>
      <c r="K10" s="6" t="inlineStr"/>
      <c r="L10" s="6" t="inlineStr">
        <is>
          <t>Yes</t>
        </is>
      </c>
      <c r="M10" s="6" t="n">
        <v>1</v>
      </c>
    </row>
    <row r="11">
      <c r="A11" s="2" t="inlineStr">
        <is>
          <t>Refined products</t>
        </is>
      </c>
      <c r="B11" s="2" t="inlineStr">
        <is>
          <t>UNEV Pipeline</t>
        </is>
      </c>
      <c r="C11" s="2" t="inlineStr">
        <is>
          <t>Woods Cross (Salt Lake City), UT to Las Vegas, NV</t>
        </is>
      </c>
      <c r="D11" s="9" t="n">
        <v>62000</v>
      </c>
      <c r="E11" s="2" t="inlineStr">
        <is>
          <t>Capacity</t>
        </is>
      </c>
      <c r="F11" s="2" t="inlineStr">
        <is>
          <t>2020</t>
        </is>
      </c>
      <c r="G11" s="2" t="inlineStr">
        <is>
          <t>Company SEC filing</t>
        </is>
      </c>
      <c r="H11" s="2" t="inlineStr">
        <is>
          <t>Holly Energy Partners, Form 10-K for 2020, pipeline table</t>
        </is>
      </c>
      <c r="I11" s="10" t="inlineStr">
        <is>
          <t>https://www.sec.gov/Archives/edgar/data/1283140/000128314021000012/hfc-20201231.htm</t>
        </is>
      </c>
      <c r="J11" s="2" t="inlineStr">
        <is>
          <t>Woods Cross, UT to Las Vegas, NV 12 427 62,000 [diameter in, miles, capacity bpd]</t>
        </is>
      </c>
      <c r="K11" s="2" t="inlineStr"/>
      <c r="L11" s="2" t="inlineStr">
        <is>
          <t>Yes</t>
        </is>
      </c>
      <c r="M11" s="2" t="n">
        <v>2</v>
      </c>
    </row>
    <row r="12">
      <c r="A12" s="6" t="inlineStr">
        <is>
          <t>Refined products</t>
        </is>
      </c>
      <c r="B12" s="6" t="inlineStr">
        <is>
          <t>Northwest Products System (Salt Lake City to Spokane)</t>
        </is>
      </c>
      <c r="C12" s="6" t="inlineStr">
        <is>
          <t>Salt Lake City, UT to Boise, ID, Pasco and Spokane, WA</t>
        </is>
      </c>
      <c r="D12" s="7" t="n">
        <v>87000</v>
      </c>
      <c r="E12" s="6" t="inlineStr">
        <is>
          <t>Throughput (2012 average)</t>
        </is>
      </c>
      <c r="F12" s="6" t="inlineStr">
        <is>
          <t>2012</t>
        </is>
      </c>
      <c r="G12" s="6" t="inlineStr">
        <is>
          <t>Company SEC filing</t>
        </is>
      </c>
      <c r="H12" s="6" t="inlineStr">
        <is>
          <t>Tesoro Logistics, press release filed with the SEC (Exhibit 99.1), 2013</t>
        </is>
      </c>
      <c r="I12" s="8" t="inlineStr">
        <is>
          <t>https://www.sec.gov/Archives/edgar/data/1507615/000150761513000038/tllpex991pressrelease.htm</t>
        </is>
      </c>
      <c r="J12" s="6" t="inlineStr">
        <is>
          <t>For 2012, throughput volumes on the pipeline system averaged approximately 87,000 barrels per day.</t>
        </is>
      </c>
      <c r="K12" s="6" t="inlineStr">
        <is>
          <t>Sold by Chevron to Tesoro Logistics in 2013; now operated by Marathon. Capacity not published; drawn at 2012 throughput</t>
        </is>
      </c>
      <c r="L12" s="6" t="inlineStr">
        <is>
          <t>Yes</t>
        </is>
      </c>
      <c r="M12" s="6" t="n">
        <v>2</v>
      </c>
    </row>
    <row r="13">
      <c r="A13" s="2" t="inlineStr">
        <is>
          <t>Refined products</t>
        </is>
      </c>
      <c r="B13" s="2" t="inlineStr">
        <is>
          <t>Wolverine Pipe Line</t>
        </is>
      </c>
      <c r="C13" s="2" t="inlineStr">
        <is>
          <t>Chicago area to Michigan and northwest Indiana</t>
        </is>
      </c>
      <c r="D13" s="9" t="n">
        <v>357000</v>
      </c>
      <c r="E13" s="2" t="inlineStr">
        <is>
          <t>Throughput (about 15 million gallons a day)</t>
        </is>
      </c>
      <c r="F13" s="2" t="inlineStr">
        <is>
          <t>2026</t>
        </is>
      </c>
      <c r="G13" s="2" t="inlineStr">
        <is>
          <t>Company website</t>
        </is>
      </c>
      <c r="H13" s="2" t="inlineStr">
        <is>
          <t>Wolverine Pipe Line Company: Who is Wolverine</t>
        </is>
      </c>
      <c r="I13" s="10" t="inlineStr">
        <is>
          <t>https://wolverinepipeline.com/who-is-wolverine-pipe-line-company/</t>
        </is>
      </c>
      <c r="J13" s="2" t="inlineStr">
        <is>
          <t>approximately fifteen million gallons of products a day</t>
        </is>
      </c>
      <c r="K13" s="2" t="inlineStr">
        <is>
          <t>15 million gallons at 42 gallons a barrel is about 357,000 b/d. Capacity not published; drawn at stated throughput</t>
        </is>
      </c>
      <c r="L13" s="2" t="inlineStr">
        <is>
          <t>Yes</t>
        </is>
      </c>
      <c r="M13" s="2" t="n">
        <v>1</v>
      </c>
    </row>
    <row r="14">
      <c r="A14" s="6" t="inlineStr">
        <is>
          <t>Refined products</t>
        </is>
      </c>
      <c r="B14" s="6" t="inlineStr">
        <is>
          <t>Olympic Pipeline</t>
        </is>
      </c>
      <c r="C14" s="6" t="inlineStr">
        <is>
          <t>Blaine/Ferndale, WA to Portland, OR</t>
        </is>
      </c>
      <c r="D14" s="7" t="n">
        <v>300000</v>
      </c>
      <c r="E14" s="6" t="inlineStr">
        <is>
          <t>Capacity (press-reported)</t>
        </is>
      </c>
      <c r="F14" s="6" t="inlineStr"/>
      <c r="G14" s="6" t="inlineStr">
        <is>
          <t>Press</t>
        </is>
      </c>
      <c r="H14" s="6" t="inlineStr">
        <is>
          <t>Skagit Valley Herald (goskagit.com), citing BP; Global Energy Monitor gives about 325,000</t>
        </is>
      </c>
      <c r="I14" s="8" t="inlineStr">
        <is>
          <t>https://www.goskagit.com/news/local_news/work-planned-for-olympic-pipeline/article_e21abba8-d69e-5735-bace-223d07386733.html</t>
        </is>
      </c>
      <c r="J14" s="6" t="inlineStr"/>
      <c r="K14" s="6" t="inlineStr">
        <is>
          <t>Not confirmed from an operator or official document; drawn thin</t>
        </is>
      </c>
      <c r="L14" s="6" t="inlineStr">
        <is>
          <t>No (thin)</t>
        </is>
      </c>
      <c r="M14" s="6" t="n">
        <v>1</v>
      </c>
    </row>
    <row r="15">
      <c r="A15" s="2" t="inlineStr">
        <is>
          <t>Refined products</t>
        </is>
      </c>
      <c r="B15" s="2" t="inlineStr">
        <is>
          <t>Laurel Pipeline</t>
        </is>
      </c>
      <c r="C15" s="2" t="inlineStr">
        <is>
          <t>Philadelphia, PA to Pittsburgh, PA</t>
        </is>
      </c>
      <c r="D15" s="9" t="n">
        <v>180000</v>
      </c>
      <c r="E15" s="2" t="inlineStr">
        <is>
          <t>Capacity (press-reported)</t>
        </is>
      </c>
      <c r="F15" s="2" t="inlineStr"/>
      <c r="G15" s="2" t="inlineStr">
        <is>
          <t>Press</t>
        </is>
      </c>
      <c r="H15" s="2" t="inlineStr">
        <is>
          <t>Philadelphia Inquirer / Global Energy Monitor</t>
        </is>
      </c>
      <c r="I15" s="10" t="inlineStr">
        <is>
          <t>https://www.gem.wiki/Laurel_Pipeline</t>
        </is>
      </c>
      <c r="J15" s="2" t="inlineStr"/>
      <c r="K15" s="2" t="inlineStr">
        <is>
          <t>Not confirmed from an operator or official document; drawn thin</t>
        </is>
      </c>
      <c r="L15" s="2" t="inlineStr">
        <is>
          <t>No (thin)</t>
        </is>
      </c>
      <c r="M15" s="2" t="n">
        <v>8</v>
      </c>
    </row>
    <row r="16">
      <c r="A16" s="6" t="inlineStr">
        <is>
          <t>Refined products</t>
        </is>
      </c>
      <c r="B16" s="6" t="inlineStr">
        <is>
          <t>CALNEV Pipeline</t>
        </is>
      </c>
      <c r="C16" s="6" t="inlineStr">
        <is>
          <t>Colton, CA to Las Vegas, NV</t>
        </is>
      </c>
      <c r="D16" s="7" t="n">
        <v>128000</v>
      </c>
      <c r="E16" s="6" t="inlineStr">
        <is>
          <t>Volume (press-reported)</t>
        </is>
      </c>
      <c r="F16" s="6" t="inlineStr"/>
      <c r="G16" s="6" t="inlineStr">
        <is>
          <t>Press</t>
        </is>
      </c>
      <c r="H16" s="6" t="inlineStr">
        <is>
          <t>Wikipedia / Global Energy Monitor</t>
        </is>
      </c>
      <c r="I16" s="8" t="inlineStr">
        <is>
          <t>https://www.gem.wiki/Calnev_Oil_Products_Pipeline</t>
        </is>
      </c>
      <c r="J16" s="6" t="inlineStr"/>
      <c r="K16" s="6" t="inlineStr">
        <is>
          <t>Not confirmed from an operator or official document; drawn thin</t>
        </is>
      </c>
      <c r="L16" s="6" t="inlineStr">
        <is>
          <t>No (thin)</t>
        </is>
      </c>
      <c r="M16" s="6" t="n">
        <v>2</v>
      </c>
    </row>
    <row r="17">
      <c r="A17" s="2" t="inlineStr">
        <is>
          <t>Refined products</t>
        </is>
      </c>
      <c r="B17" s="2" t="inlineStr">
        <is>
          <t>Centennial Pipeline</t>
        </is>
      </c>
      <c r="C17" s="2" t="inlineStr">
        <is>
          <t>Beaumont, TX to Bourbon, IL</t>
        </is>
      </c>
      <c r="D17" s="9" t="n">
        <v>210000</v>
      </c>
      <c r="E17" s="2" t="inlineStr">
        <is>
          <t>Design capacity at opening (2002)</t>
        </is>
      </c>
      <c r="F17" s="2" t="inlineStr">
        <is>
          <t>2002</t>
        </is>
      </c>
      <c r="G17" s="2" t="inlineStr">
        <is>
          <t>Press</t>
        </is>
      </c>
      <c r="H17" s="2" t="inlineStr">
        <is>
          <t>Power Engineering (2002)</t>
        </is>
      </c>
      <c r="I17" s="10" t="inlineStr">
        <is>
          <t>https://www.power-eng.com/operations-maintenance/centennial-pipeline-announces-beginning-of-full-operation/</t>
        </is>
      </c>
      <c r="J17" s="2" t="inlineStr"/>
      <c r="K17" s="2" t="inlineStr">
        <is>
          <t>Current operating status not confirmed; drawn thin</t>
        </is>
      </c>
      <c r="L17" s="2" t="inlineStr">
        <is>
          <t>No (thin)</t>
        </is>
      </c>
      <c r="M17" s="2" t="n">
        <v>1</v>
      </c>
    </row>
    <row r="18">
      <c r="A18" s="6" t="inlineStr">
        <is>
          <t>Refined products</t>
        </is>
      </c>
      <c r="B18" s="6" t="inlineStr">
        <is>
          <t>SFPP (Kinder Morgan Pacific system)</t>
        </is>
      </c>
      <c r="C18" s="6" t="inlineStr">
        <is>
          <t>Los Angeles and Bay Area to Arizona, Nevada and Oregon; El Paso to Phoenix</t>
        </is>
      </c>
      <c r="D18" s="7" t="n"/>
      <c r="E18" s="6" t="inlineStr">
        <is>
          <t>Not published</t>
        </is>
      </c>
      <c r="F18" s="6" t="inlineStr"/>
      <c r="G18" s="6" t="inlineStr">
        <is>
          <t>Company website</t>
        </is>
      </c>
      <c r="H18" s="6" t="inlineStr">
        <is>
          <t>Kinder Morgan Products Pipelines</t>
        </is>
      </c>
      <c r="I18" s="8" t="inlineStr">
        <is>
          <t>https://kindermorgan.com/Operations/Products/Index</t>
        </is>
      </c>
      <c r="J18" s="6" t="inlineStr"/>
      <c r="K18" s="6" t="inlineStr">
        <is>
          <t>Kinder Morgan publishes no line capacity for SFPP. The Western Gateway line (Texas to Arizona, 230,000 b/d design) reached a final investment decision in Aug 2026</t>
        </is>
      </c>
      <c r="L18" s="6" t="inlineStr">
        <is>
          <t>No (thin)</t>
        </is>
      </c>
      <c r="M18" s="6" t="n">
        <v>12</v>
      </c>
    </row>
    <row r="19">
      <c r="A19" s="2" t="inlineStr">
        <is>
          <t>Refined products</t>
        </is>
      </c>
      <c r="B19" s="2" t="inlineStr">
        <is>
          <t>Networks with no single capacity (Magellan/ONEOK, NuStar, Buckeye, TEPPCO, Marathon, BP, Sunoco and others)</t>
        </is>
      </c>
      <c r="C19" s="2" t="inlineStr">
        <is>
          <t>Gulf Coast and Mid-Continent to the Midwest and Northeast</t>
        </is>
      </c>
      <c r="D19" s="9" t="n"/>
      <c r="E19" s="2" t="inlineStr">
        <is>
          <t>Not published</t>
        </is>
      </c>
      <c r="F19" s="2" t="inlineStr"/>
      <c r="G19" s="2" t="inlineStr">
        <is>
          <t>Company SEC filing</t>
        </is>
      </c>
      <c r="H19" s="2" t="inlineStr">
        <is>
          <t>e.g. Magellan Midstream Partners, Form 10-K for 2022: a 9,800-mile refined products system with no capacity by line</t>
        </is>
      </c>
      <c r="I19" s="10" t="inlineStr">
        <is>
          <t>https://www.sec.gov/Archives/edgar/data/1126975/000112697523000064/mmp-20221231.htm</t>
        </is>
      </c>
      <c r="J19" s="2" t="inlineStr"/>
      <c r="K19" s="2" t="inlineStr">
        <is>
          <t>Drawn thin</t>
        </is>
      </c>
      <c r="L19" s="2" t="inlineStr">
        <is>
          <t>No (thin)</t>
        </is>
      </c>
      <c r="M19" s="2" t="inlineStr"/>
    </row>
    <row r="20">
      <c r="A20" s="6" t="inlineStr">
        <is>
          <t>Crude oil</t>
        </is>
      </c>
      <c r="B20" s="6" t="inlineStr">
        <is>
          <t>Enbridge Canadian Mainline</t>
        </is>
      </c>
      <c r="C20" s="6" t="inlineStr">
        <is>
          <t>Edmonton, AB to the US border at Neche, ND / Gretna, MB</t>
        </is>
      </c>
      <c r="D20" s="7" t="n">
        <v>3200000</v>
      </c>
      <c r="E20" s="6" t="inlineStr">
        <is>
          <t>Capacity</t>
        </is>
      </c>
      <c r="F20" s="6" t="inlineStr">
        <is>
          <t>2025</t>
        </is>
      </c>
      <c r="G20" s="6" t="inlineStr">
        <is>
          <t>Company SEC filing</t>
        </is>
      </c>
      <c r="H20" s="6" t="inlineStr">
        <is>
          <t>Enbridge Inc., Form 10-K for 2025</t>
        </is>
      </c>
      <c r="I20" s="8" t="inlineStr">
        <is>
          <t>https://www.sec.gov/Archives/edgar/data/895728/000119312526049810/enb-20251231.htm</t>
        </is>
      </c>
      <c r="J20" s="6" t="inlineStr">
        <is>
          <t>The Canadian Mainline includes six adjacent pipelines with a combined operating capacity of approximately 3.2 mmbpd that connect with the Lakehead System at the Canada/US border</t>
        </is>
      </c>
      <c r="K20" s="6" t="inlineStr"/>
      <c r="L20" s="6" t="inlineStr">
        <is>
          <t>Yes</t>
        </is>
      </c>
      <c r="M20" s="6" t="n">
        <v>1</v>
      </c>
    </row>
    <row r="21">
      <c r="A21" s="2" t="inlineStr">
        <is>
          <t>Crude oil</t>
        </is>
      </c>
      <c r="B21" s="2" t="inlineStr">
        <is>
          <t>Enbridge Lakehead System, border to Superior (excluding Line 67)</t>
        </is>
      </c>
      <c r="C21" s="2" t="inlineStr">
        <is>
          <t>Neche, ND to Superior, WI</t>
        </is>
      </c>
      <c r="D21" s="9" t="n">
        <v>2400000</v>
      </c>
      <c r="E21" s="2" t="inlineStr">
        <is>
          <t>Derived capacity</t>
        </is>
      </c>
      <c r="F21" s="2" t="inlineStr">
        <is>
          <t>2025</t>
        </is>
      </c>
      <c r="G21" s="2" t="inlineStr">
        <is>
          <t>Derived from official and company figures</t>
        </is>
      </c>
      <c r="H21" s="2" t="inlineStr">
        <is>
          <t>Enbridge 10-K for 2025 (Mainline 3.2 mmbpd) less Line 67 (800,000 b/d, EIA liquids pipeline projects database)</t>
        </is>
      </c>
      <c r="I21" s="10" t="inlineStr">
        <is>
          <t>https://www.eia.gov/petroleum/xls/EIA_LiqPipProject.xlsx</t>
        </is>
      </c>
      <c r="J21" s="2" t="inlineStr"/>
      <c r="K21" s="2" t="inlineStr">
        <is>
          <t>Line 67 (Alberta Clipper) is drawn separately, so this segment is drawn at 3.2M less 0.8M. Enbridge does not publish a figure for this segment on its own</t>
        </is>
      </c>
      <c r="L21" s="2" t="inlineStr">
        <is>
          <t>Yes</t>
        </is>
      </c>
      <c r="M21" s="2" t="n">
        <v>1</v>
      </c>
    </row>
    <row r="22">
      <c r="A22" s="6" t="inlineStr">
        <is>
          <t>Crude oil</t>
        </is>
      </c>
      <c r="B22" s="6" t="inlineStr">
        <is>
          <t>Enbridge Line 5</t>
        </is>
      </c>
      <c r="C22" s="6" t="inlineStr">
        <is>
          <t>Superior, WI to Sarnia, ON via Michigan</t>
        </is>
      </c>
      <c r="D22" s="7" t="n">
        <v>540000</v>
      </c>
      <c r="E22" s="6" t="inlineStr">
        <is>
          <t>Capacity</t>
        </is>
      </c>
      <c r="F22" s="6" t="inlineStr">
        <is>
          <t>2026</t>
        </is>
      </c>
      <c r="G22" s="6" t="inlineStr">
        <is>
          <t>Company website</t>
        </is>
      </c>
      <c r="H22" s="6" t="inlineStr">
        <is>
          <t>Enbridge: What is Line 5?</t>
        </is>
      </c>
      <c r="I22" s="8" t="inlineStr">
        <is>
          <t>https://www.enbridge.com/projects-and-infrastructure/public-awareness/line-5-answering-your-questions/what-is-line-5</t>
        </is>
      </c>
      <c r="J22" s="6" t="inlineStr">
        <is>
          <t>transports up to 540,000 barrels per day (bpd) of light crude oil, light synthetic crude, and natural gas liquids</t>
        </is>
      </c>
      <c r="K22" s="6" t="inlineStr"/>
      <c r="L22" s="6" t="inlineStr">
        <is>
          <t>Yes</t>
        </is>
      </c>
      <c r="M22" s="6" t="n">
        <v>1</v>
      </c>
    </row>
    <row r="23">
      <c r="A23" s="2" t="inlineStr">
        <is>
          <t>Crude oil</t>
        </is>
      </c>
      <c r="B23" s="2" t="inlineStr">
        <is>
          <t>Enbridge Alberta Clipper (Line 67)</t>
        </is>
      </c>
      <c r="C23" s="2" t="inlineStr">
        <is>
          <t>Hardisty, AB to Superior, WI</t>
        </is>
      </c>
      <c r="D23" s="9" t="n">
        <v>800000</v>
      </c>
      <c r="E23" s="2" t="inlineStr">
        <is>
          <t>Capacity</t>
        </is>
      </c>
      <c r="F23" s="2" t="inlineStr">
        <is>
          <t>2017</t>
        </is>
      </c>
      <c r="G23" s="2" t="inlineStr">
        <is>
          <t>Official (EIA)</t>
        </is>
      </c>
      <c r="H23" s="2" t="inlineStr">
        <is>
          <t>EIA, Liquids pipeline projects database (IDs 83 and 128)</t>
        </is>
      </c>
      <c r="I23" s="10" t="inlineStr">
        <is>
          <t>https://www.eia.gov/petroleum/xls/EIA_LiqPipProject.xlsx</t>
        </is>
      </c>
      <c r="J23" s="2" t="inlineStr">
        <is>
          <t>Upgrading of pumps brought U.S. capacity up from 570,000 b/d to 800,000 b/d</t>
        </is>
      </c>
      <c r="K23" s="2" t="inlineStr"/>
      <c r="L23" s="2" t="inlineStr">
        <is>
          <t>Yes</t>
        </is>
      </c>
      <c r="M23" s="2" t="n">
        <v>1</v>
      </c>
    </row>
    <row r="24">
      <c r="A24" s="6" t="inlineStr">
        <is>
          <t>Crude oil</t>
        </is>
      </c>
      <c r="B24" s="6" t="inlineStr">
        <is>
          <t>Enbridge Southern Access (Line 61)</t>
        </is>
      </c>
      <c r="C24" s="6" t="inlineStr">
        <is>
          <t>Superior, WI to Flanagan, IL</t>
        </is>
      </c>
      <c r="D24" s="7" t="n">
        <v>1200000</v>
      </c>
      <c r="E24" s="6" t="inlineStr">
        <is>
          <t>Capacity</t>
        </is>
      </c>
      <c r="F24" s="6" t="inlineStr">
        <is>
          <t>2021</t>
        </is>
      </c>
      <c r="G24" s="6" t="inlineStr">
        <is>
          <t>Official (EIA)</t>
        </is>
      </c>
      <c r="H24" s="6" t="inlineStr">
        <is>
          <t>EIA, Liquids pipeline projects database (ID 199)</t>
        </is>
      </c>
      <c r="I24" s="8" t="inlineStr">
        <is>
          <t>https://www.eia.gov/petroleum/xls/EIA_LiqPipProject.xlsx</t>
        </is>
      </c>
      <c r="J24" s="6" t="inlineStr">
        <is>
          <t>Capacity increased from 950,000 b/d to 1,200,000 b/d.</t>
        </is>
      </c>
      <c r="K24" s="6" t="inlineStr"/>
      <c r="L24" s="6" t="inlineStr">
        <is>
          <t>Yes</t>
        </is>
      </c>
      <c r="M24" s="6" t="n">
        <v>1</v>
      </c>
    </row>
    <row r="25">
      <c r="A25" s="2" t="inlineStr">
        <is>
          <t>Crude oil</t>
        </is>
      </c>
      <c r="B25" s="2" t="inlineStr">
        <is>
          <t>Spearhead Pipeline</t>
        </is>
      </c>
      <c r="C25" s="2" t="inlineStr">
        <is>
          <t>Flanagan, IL to Cushing, OK</t>
        </is>
      </c>
      <c r="D25" s="9" t="n">
        <v>193000</v>
      </c>
      <c r="E25" s="2" t="inlineStr">
        <is>
          <t>Capacity</t>
        </is>
      </c>
      <c r="F25" s="2" t="inlineStr">
        <is>
          <t>2025</t>
        </is>
      </c>
      <c r="G25" s="2" t="inlineStr">
        <is>
          <t>Company SEC filing</t>
        </is>
      </c>
      <c r="H25" s="2" t="inlineStr">
        <is>
          <t>Enbridge Inc., Form 10-K for 2025</t>
        </is>
      </c>
      <c r="I25" s="10" t="inlineStr">
        <is>
          <t>https://www.sec.gov/Archives/edgar/data/895728/000119312526049810/enb-20251231.htm</t>
        </is>
      </c>
      <c r="J25" s="2" t="inlineStr">
        <is>
          <t>The Spearhead Pipeline has a capacity of approximately 193 kbpd.</t>
        </is>
      </c>
      <c r="K25" s="2" t="inlineStr"/>
      <c r="L25" s="2" t="inlineStr">
        <is>
          <t>Yes</t>
        </is>
      </c>
      <c r="M25" s="2" t="n">
        <v>1</v>
      </c>
    </row>
    <row r="26">
      <c r="A26" s="6" t="inlineStr">
        <is>
          <t>Crude oil</t>
        </is>
      </c>
      <c r="B26" s="6" t="inlineStr">
        <is>
          <t>Ozark Pipeline (Midcontinent)</t>
        </is>
      </c>
      <c r="C26" s="6" t="inlineStr">
        <is>
          <t>Cushing, OK to Wood River, IL</t>
        </is>
      </c>
      <c r="D26" s="7" t="n">
        <v>360000</v>
      </c>
      <c r="E26" s="6" t="inlineStr">
        <is>
          <t>Capacity</t>
        </is>
      </c>
      <c r="F26" s="6" t="inlineStr">
        <is>
          <t>2018</t>
        </is>
      </c>
      <c r="G26" s="6" t="inlineStr">
        <is>
          <t>Official (EIA)</t>
        </is>
      </c>
      <c r="H26" s="6" t="inlineStr">
        <is>
          <t>EIA, Liquids pipeline projects database (ID 138)</t>
        </is>
      </c>
      <c r="I26" s="8" t="inlineStr">
        <is>
          <t>https://www.eia.gov/petroleum/xls/EIA_LiqPipProject.xlsx</t>
        </is>
      </c>
      <c r="J26" s="6" t="inlineStr">
        <is>
          <t>Capacity expanded from about 230,000 b/d to 360,000 b/d.</t>
        </is>
      </c>
      <c r="K26" s="6" t="inlineStr"/>
      <c r="L26" s="6" t="inlineStr">
        <is>
          <t>Yes</t>
        </is>
      </c>
      <c r="M26" s="6" t="n">
        <v>1</v>
      </c>
    </row>
    <row r="27">
      <c r="A27" s="2" t="inlineStr">
        <is>
          <t>Crude oil</t>
        </is>
      </c>
      <c r="B27" s="2" t="inlineStr">
        <is>
          <t>Express Pipeline</t>
        </is>
      </c>
      <c r="C27" s="2" t="inlineStr">
        <is>
          <t>Hardisty, AB to Casper, WY</t>
        </is>
      </c>
      <c r="D27" s="9" t="n">
        <v>310000</v>
      </c>
      <c r="E27" s="2" t="inlineStr">
        <is>
          <t>Capacity</t>
        </is>
      </c>
      <c r="F27" s="2" t="inlineStr">
        <is>
          <t>2025</t>
        </is>
      </c>
      <c r="G27" s="2" t="inlineStr">
        <is>
          <t>Company SEC filing</t>
        </is>
      </c>
      <c r="H27" s="2" t="inlineStr">
        <is>
          <t>Enbridge Inc., Form 10-K for 2025</t>
        </is>
      </c>
      <c r="I27" s="10" t="inlineStr">
        <is>
          <t>https://www.sec.gov/Archives/edgar/data/895728/000119312526049810/enb-20251231.htm</t>
        </is>
      </c>
      <c r="J27" s="2" t="inlineStr">
        <is>
          <t>The 310 kbpd Express Pipeline carries crude oil to US refining markets in the Rocky Mountains area</t>
        </is>
      </c>
      <c r="K27" s="2" t="inlineStr"/>
      <c r="L27" s="2" t="inlineStr">
        <is>
          <t>Yes</t>
        </is>
      </c>
      <c r="M27" s="2" t="n">
        <v>1</v>
      </c>
    </row>
    <row r="28">
      <c r="A28" s="6" t="inlineStr">
        <is>
          <t>Crude oil</t>
        </is>
      </c>
      <c r="B28" s="6" t="inlineStr">
        <is>
          <t>Platte Pipeline</t>
        </is>
      </c>
      <c r="C28" s="6" t="inlineStr">
        <is>
          <t>Casper, WY to Wood River, IL</t>
        </is>
      </c>
      <c r="D28" s="7" t="n">
        <v>145000</v>
      </c>
      <c r="E28" s="6" t="inlineStr">
        <is>
          <t>Capacity</t>
        </is>
      </c>
      <c r="F28" s="6" t="inlineStr">
        <is>
          <t>2025</t>
        </is>
      </c>
      <c r="G28" s="6" t="inlineStr">
        <is>
          <t>Company SEC filing</t>
        </is>
      </c>
      <c r="H28" s="6" t="inlineStr">
        <is>
          <t>Enbridge Inc., Form 10-K for 2025</t>
        </is>
      </c>
      <c r="I28" s="8" t="inlineStr">
        <is>
          <t>https://www.sec.gov/Archives/edgar/data/895728/000119312526049810/enb-20251231.htm</t>
        </is>
      </c>
      <c r="J28" s="6" t="inlineStr">
        <is>
          <t>The 145 to 164 kbpd Platte Pipeline</t>
        </is>
      </c>
      <c r="K28" s="6" t="inlineStr">
        <is>
          <t>164k b/d on the first segment (Casper to Guernsey); 145k b/d beyond</t>
        </is>
      </c>
      <c r="L28" s="6" t="inlineStr">
        <is>
          <t>Yes</t>
        </is>
      </c>
      <c r="M28" s="6" t="n">
        <v>1</v>
      </c>
    </row>
    <row r="29">
      <c r="A29" s="2" t="inlineStr">
        <is>
          <t>Crude oil</t>
        </is>
      </c>
      <c r="B29" s="2" t="inlineStr">
        <is>
          <t>Keystone Pipeline, Hardisty to Steele City</t>
        </is>
      </c>
      <c r="C29" s="2" t="inlineStr">
        <is>
          <t>Hardisty, AB to Steele City, NE</t>
        </is>
      </c>
      <c r="D29" s="9" t="n">
        <v>591000</v>
      </c>
      <c r="E29" s="2" t="inlineStr">
        <is>
          <t>Capacity</t>
        </is>
      </c>
      <c r="F29" s="2" t="inlineStr">
        <is>
          <t>2011</t>
        </is>
      </c>
      <c r="G29" s="2" t="inlineStr">
        <is>
          <t>Official (EIA)</t>
        </is>
      </c>
      <c r="H29" s="2" t="inlineStr">
        <is>
          <t>EIA, Liquids pipeline projects database (ID 3)</t>
        </is>
      </c>
      <c r="I29" s="10" t="inlineStr">
        <is>
          <t>https://www.eia.gov/petroleum/xls/EIA_LiqPipProject.xlsx</t>
        </is>
      </c>
      <c r="J29" s="2" t="inlineStr">
        <is>
          <t>brought capacity of the entire system up to 591,000 b/d</t>
        </is>
      </c>
      <c r="K29" s="2" t="inlineStr">
        <is>
          <t>Now owned by South Bow. Later optimisations are reported to have raised it to about 622,000 b/d (S&amp;P Global, July 2022). Legs beyond Steele City to Patoka and Cushing are drawn thin: their split is not published</t>
        </is>
      </c>
      <c r="L29" s="2" t="inlineStr">
        <is>
          <t>Yes</t>
        </is>
      </c>
      <c r="M29" s="2" t="n">
        <v>2</v>
      </c>
    </row>
    <row r="30">
      <c r="A30" s="6" t="inlineStr">
        <is>
          <t>Crude oil</t>
        </is>
      </c>
      <c r="B30" s="6" t="inlineStr">
        <is>
          <t>Keystone Gulf Coast Project</t>
        </is>
      </c>
      <c r="C30" s="6" t="inlineStr">
        <is>
          <t>Cushing, OK to Port Arthur, TX</t>
        </is>
      </c>
      <c r="D30" s="7" t="n">
        <v>700000</v>
      </c>
      <c r="E30" s="6" t="inlineStr">
        <is>
          <t>Capacity</t>
        </is>
      </c>
      <c r="F30" s="6" t="inlineStr">
        <is>
          <t>2014</t>
        </is>
      </c>
      <c r="G30" s="6" t="inlineStr">
        <is>
          <t>Official (EIA)</t>
        </is>
      </c>
      <c r="H30" s="6" t="inlineStr">
        <is>
          <t>EIA, Liquids pipeline projects database (ID 45)</t>
        </is>
      </c>
      <c r="I30" s="8" t="inlineStr">
        <is>
          <t>https://www.eia.gov/petroleum/xls/EIA_LiqPipProject.xlsx</t>
        </is>
      </c>
      <c r="J30" s="6" t="inlineStr">
        <is>
          <t>Extension of Keystone Pipeline that goes from Cushing, Oklahoma, to refineries in Port Arthur, Texas. Expandable to 830,000 b/d.</t>
        </is>
      </c>
      <c r="K30" s="6" t="inlineStr"/>
      <c r="L30" s="6" t="inlineStr">
        <is>
          <t>Yes</t>
        </is>
      </c>
      <c r="M30" s="6" t="n">
        <v>1</v>
      </c>
    </row>
    <row r="31">
      <c r="A31" s="2" t="inlineStr">
        <is>
          <t>Crude oil</t>
        </is>
      </c>
      <c r="B31" s="2" t="inlineStr">
        <is>
          <t>Dakota Access Pipeline</t>
        </is>
      </c>
      <c r="C31" s="2" t="inlineStr">
        <is>
          <t>Bakken, ND to Patoka, IL</t>
        </is>
      </c>
      <c r="D31" s="9" t="n">
        <v>750000</v>
      </c>
      <c r="E31" s="2" t="inlineStr">
        <is>
          <t>Capacity</t>
        </is>
      </c>
      <c r="F31" s="2" t="inlineStr">
        <is>
          <t>2025</t>
        </is>
      </c>
      <c r="G31" s="2" t="inlineStr">
        <is>
          <t>Company SEC filing</t>
        </is>
      </c>
      <c r="H31" s="2" t="inlineStr">
        <is>
          <t>Enbridge Inc., Form 10-K for 2025 (Bakken Pipeline System)</t>
        </is>
      </c>
      <c r="I31" s="10" t="inlineStr">
        <is>
          <t>https://www.sec.gov/Archives/edgar/data/895728/000119312526049810/enb-20251231.htm</t>
        </is>
      </c>
      <c r="J31" s="2" t="inlineStr">
        <is>
          <t>The Bakken Pipeline System consists of the Dakota Access Pipeline ... and the Energy Transfer Crude Oil Pipeline ... Current capacity is approximately 750 kbpd of crude oil</t>
        </is>
      </c>
      <c r="K31" s="2" t="inlineStr"/>
      <c r="L31" s="2" t="inlineStr">
        <is>
          <t>Yes</t>
        </is>
      </c>
      <c r="M31" s="2" t="n">
        <v>1</v>
      </c>
    </row>
    <row r="32">
      <c r="A32" s="6" t="inlineStr">
        <is>
          <t>Crude oil</t>
        </is>
      </c>
      <c r="B32" s="6" t="inlineStr">
        <is>
          <t>Energy Transfer Crude Oil Pipeline (ETCO)</t>
        </is>
      </c>
      <c r="C32" s="6" t="inlineStr">
        <is>
          <t>Patoka, IL to Nederland, TX</t>
        </is>
      </c>
      <c r="D32" s="7" t="n">
        <v>750000</v>
      </c>
      <c r="E32" s="6" t="inlineStr">
        <is>
          <t>Capacity</t>
        </is>
      </c>
      <c r="F32" s="6" t="inlineStr">
        <is>
          <t>2025</t>
        </is>
      </c>
      <c r="G32" s="6" t="inlineStr">
        <is>
          <t>Company SEC filing</t>
        </is>
      </c>
      <c r="H32" s="6" t="inlineStr">
        <is>
          <t>Enbridge Inc., Form 10-K for 2025 (Bakken Pipeline System)</t>
        </is>
      </c>
      <c r="I32" s="8" t="inlineStr">
        <is>
          <t>https://www.sec.gov/Archives/edgar/data/895728/000119312526049810/enb-20251231.htm</t>
        </is>
      </c>
      <c r="J32" s="6" t="inlineStr">
        <is>
          <t>Current capacity is approximately 750 kbpd of crude oil</t>
        </is>
      </c>
      <c r="K32" s="6" t="inlineStr">
        <is>
          <t>Same system capacity as Dakota Access</t>
        </is>
      </c>
      <c r="L32" s="6" t="inlineStr">
        <is>
          <t>Yes</t>
        </is>
      </c>
      <c r="M32" s="6" t="n">
        <v>1</v>
      </c>
    </row>
    <row r="33">
      <c r="A33" s="2" t="inlineStr">
        <is>
          <t>Crude oil</t>
        </is>
      </c>
      <c r="B33" s="2" t="inlineStr">
        <is>
          <t>Pony Express Pipeline</t>
        </is>
      </c>
      <c r="C33" s="2" t="inlineStr">
        <is>
          <t>Guernsey, WY to Cushing, OK</t>
        </is>
      </c>
      <c r="D33" s="9" t="n">
        <v>400000</v>
      </c>
      <c r="E33" s="2" t="inlineStr">
        <is>
          <t>Capacity</t>
        </is>
      </c>
      <c r="F33" s="2" t="inlineStr">
        <is>
          <t>2018</t>
        </is>
      </c>
      <c r="G33" s="2" t="inlineStr">
        <is>
          <t>Official (EIA)</t>
        </is>
      </c>
      <c r="H33" s="2" t="inlineStr">
        <is>
          <t>EIA, Liquids pipeline projects database (ID 145)</t>
        </is>
      </c>
      <c r="I33" s="10" t="inlineStr">
        <is>
          <t>https://www.eia.gov/petroleum/xls/EIA_LiqPipProject.xlsx</t>
        </is>
      </c>
      <c r="J33" s="2" t="inlineStr">
        <is>
          <t>Pump enhancements expand capacity from 320,000 b/d to 400,000 b/d</t>
        </is>
      </c>
      <c r="K33" s="2" t="inlineStr"/>
      <c r="L33" s="2" t="inlineStr">
        <is>
          <t>Yes</t>
        </is>
      </c>
      <c r="M33" s="2" t="n">
        <v>2</v>
      </c>
    </row>
    <row r="34">
      <c r="A34" s="6" t="inlineStr">
        <is>
          <t>Crude oil</t>
        </is>
      </c>
      <c r="B34" s="6" t="inlineStr">
        <is>
          <t>Saddlehorn Pipeline</t>
        </is>
      </c>
      <c r="C34" s="6" t="inlineStr">
        <is>
          <t>Platteville, CO to Cushing, OK</t>
        </is>
      </c>
      <c r="D34" s="7" t="n">
        <v>290000</v>
      </c>
      <c r="E34" s="6" t="inlineStr">
        <is>
          <t>Capacity</t>
        </is>
      </c>
      <c r="F34" s="6" t="inlineStr">
        <is>
          <t>2025</t>
        </is>
      </c>
      <c r="G34" s="6" t="inlineStr">
        <is>
          <t>Company SEC filing</t>
        </is>
      </c>
      <c r="H34" s="6" t="inlineStr">
        <is>
          <t>Plains All American, Form 10-K for 2025</t>
        </is>
      </c>
      <c r="I34" s="8" t="inlineStr">
        <is>
          <t>https://www.sec.gov/Archives/edgar/data/1070423/000107042326000014/paa-20251231.htm</t>
        </is>
      </c>
      <c r="J34" s="6" t="inlineStr">
        <is>
          <t>owns approximately 290,000 barrels per day of capacity in the Saddlehorn Pipeline</t>
        </is>
      </c>
      <c r="K34" s="6" t="inlineStr">
        <is>
          <t>The EIA route combines Saddlehorn and Grand Mesa; drawn at Saddlehorn's capacity</t>
        </is>
      </c>
      <c r="L34" s="6" t="inlineStr">
        <is>
          <t>Yes</t>
        </is>
      </c>
      <c r="M34" s="6" t="n">
        <v>1</v>
      </c>
    </row>
    <row r="35">
      <c r="A35" s="2" t="inlineStr">
        <is>
          <t>Crude oil</t>
        </is>
      </c>
      <c r="B35" s="2" t="inlineStr">
        <is>
          <t>Seaway Pipeline</t>
        </is>
      </c>
      <c r="C35" s="2" t="inlineStr">
        <is>
          <t>Cushing, OK to Freeport/Houston, TX</t>
        </is>
      </c>
      <c r="D35" s="9" t="n">
        <v>950000</v>
      </c>
      <c r="E35" s="2" t="inlineStr">
        <is>
          <t>Capacity</t>
        </is>
      </c>
      <c r="F35" s="2" t="inlineStr">
        <is>
          <t>2025</t>
        </is>
      </c>
      <c r="G35" s="2" t="inlineStr">
        <is>
          <t>Company SEC filing</t>
        </is>
      </c>
      <c r="H35" s="2" t="inlineStr">
        <is>
          <t>Enterprise Products Partners, Form 10-K for 2025</t>
        </is>
      </c>
      <c r="I35" s="10" t="inlineStr">
        <is>
          <t>https://www.sec.gov/Archives/edgar/data/1061219/000106121926000006/epd-20251231.htm</t>
        </is>
      </c>
      <c r="J35" s="2" t="inlineStr">
        <is>
          <t>The aggregate transportation capacity of the Longhaul System is approximately 950 MBPD</t>
        </is>
      </c>
      <c r="K35" s="2" t="inlineStr"/>
      <c r="L35" s="2" t="inlineStr">
        <is>
          <t>Yes</t>
        </is>
      </c>
      <c r="M35" s="2" t="n">
        <v>1</v>
      </c>
    </row>
    <row r="36">
      <c r="A36" s="6" t="inlineStr">
        <is>
          <t>Crude oil</t>
        </is>
      </c>
      <c r="B36" s="6" t="inlineStr">
        <is>
          <t>Gray Oak Pipeline</t>
        </is>
      </c>
      <c r="C36" s="6" t="inlineStr">
        <is>
          <t>Permian Basin to Corpus Christi and Freeport</t>
        </is>
      </c>
      <c r="D36" s="7" t="n">
        <v>900000</v>
      </c>
      <c r="E36" s="6" t="inlineStr">
        <is>
          <t>Capacity</t>
        </is>
      </c>
      <c r="F36" s="6" t="inlineStr">
        <is>
          <t>2025</t>
        </is>
      </c>
      <c r="G36" s="6" t="inlineStr">
        <is>
          <t>Company SEC filing</t>
        </is>
      </c>
      <c r="H36" s="6" t="inlineStr">
        <is>
          <t>Phillips 66, Form 10-K for 2025, pipeline table</t>
        </is>
      </c>
      <c r="I36" s="8" t="inlineStr">
        <is>
          <t>https://www.sec.gov/Archives/edgar/data/1534701/000153470126000006/psx-20251231.htm</t>
        </is>
      </c>
      <c r="J36" s="6" t="inlineStr">
        <is>
          <t>Gray Oak Pipeline Texas 7 862 900</t>
        </is>
      </c>
      <c r="K36" s="6" t="inlineStr"/>
      <c r="L36" s="6" t="inlineStr">
        <is>
          <t>Yes</t>
        </is>
      </c>
      <c r="M36" s="6" t="n">
        <v>3</v>
      </c>
    </row>
    <row r="37">
      <c r="A37" s="2" t="inlineStr">
        <is>
          <t>Crude oil</t>
        </is>
      </c>
      <c r="B37" s="2" t="inlineStr">
        <is>
          <t>Cactus Pipeline</t>
        </is>
      </c>
      <c r="C37" s="2" t="inlineStr">
        <is>
          <t>McCamey, TX to Gardendale/Corpus Christi, TX</t>
        </is>
      </c>
      <c r="D37" s="9" t="n">
        <v>390000</v>
      </c>
      <c r="E37" s="2" t="inlineStr">
        <is>
          <t>Capacity</t>
        </is>
      </c>
      <c r="F37" s="2" t="inlineStr">
        <is>
          <t>2025</t>
        </is>
      </c>
      <c r="G37" s="2" t="inlineStr">
        <is>
          <t>Company SEC filing</t>
        </is>
      </c>
      <c r="H37" s="2" t="inlineStr">
        <is>
          <t>Plains All American, Form 10-K for 2025</t>
        </is>
      </c>
      <c r="I37" s="10" t="inlineStr">
        <is>
          <t>https://www.sec.gov/Archives/edgar/data/1070423/000107042326000014/paa-20251231.htm</t>
        </is>
      </c>
      <c r="J37" s="2" t="inlineStr">
        <is>
          <t>the Cactus Pipeline, which has a capacity of 390,000 barrels per day</t>
        </is>
      </c>
      <c r="K37" s="2" t="inlineStr">
        <is>
          <t>Cactus II (Wink to Ingleside, 670,000 b/d per EIA) is not a separate route in the EIA layer</t>
        </is>
      </c>
      <c r="L37" s="2" t="inlineStr">
        <is>
          <t>Yes</t>
        </is>
      </c>
      <c r="M37" s="2" t="n">
        <v>2</v>
      </c>
    </row>
    <row r="38">
      <c r="A38" s="6" t="inlineStr">
        <is>
          <t>Crude oil</t>
        </is>
      </c>
      <c r="B38" s="6" t="inlineStr">
        <is>
          <t>EPIC Crude Pipeline</t>
        </is>
      </c>
      <c r="C38" s="6" t="inlineStr">
        <is>
          <t>Permian Basin to Corpus Christi</t>
        </is>
      </c>
      <c r="D38" s="7" t="n">
        <v>600000</v>
      </c>
      <c r="E38" s="6" t="inlineStr">
        <is>
          <t>Capacity</t>
        </is>
      </c>
      <c r="F38" s="6" t="inlineStr">
        <is>
          <t>2020</t>
        </is>
      </c>
      <c r="G38" s="6" t="inlineStr">
        <is>
          <t>Official (EIA)</t>
        </is>
      </c>
      <c r="H38" s="6" t="inlineStr">
        <is>
          <t>EIA, Liquids pipeline projects database (ID 163)</t>
        </is>
      </c>
      <c r="I38" s="8" t="inlineStr">
        <is>
          <t>https://www.eia.gov/petroleum/xls/EIA_LiqPipProject.xlsx</t>
        </is>
      </c>
      <c r="J38" s="6" t="inlineStr">
        <is>
          <t>Database field Added Capacity: 600,000 b/d (EPIC Crude Pipeline, completed 2020)</t>
        </is>
      </c>
      <c r="K38" s="6" t="inlineStr"/>
      <c r="L38" s="6" t="inlineStr">
        <is>
          <t>Yes</t>
        </is>
      </c>
      <c r="M38" s="6" t="n">
        <v>1</v>
      </c>
    </row>
    <row r="39">
      <c r="A39" s="2" t="inlineStr">
        <is>
          <t>Crude oil</t>
        </is>
      </c>
      <c r="B39" s="2" t="inlineStr">
        <is>
          <t>BridgeTex Pipeline</t>
        </is>
      </c>
      <c r="C39" s="2" t="inlineStr">
        <is>
          <t>Colorado City, TX to Houston, TX</t>
        </is>
      </c>
      <c r="D39" s="9" t="n">
        <v>440000</v>
      </c>
      <c r="E39" s="2" t="inlineStr">
        <is>
          <t>Capacity</t>
        </is>
      </c>
      <c r="F39" s="2" t="inlineStr">
        <is>
          <t>2025</t>
        </is>
      </c>
      <c r="G39" s="2" t="inlineStr">
        <is>
          <t>Company SEC filing</t>
        </is>
      </c>
      <c r="H39" s="2" t="inlineStr">
        <is>
          <t>Plains All American, Form 10-K for 2025</t>
        </is>
      </c>
      <c r="I39" s="10" t="inlineStr">
        <is>
          <t>https://www.sec.gov/Archives/edgar/data/1070423/000107042326000014/paa-20251231.htm</t>
        </is>
      </c>
      <c r="J39" s="2" t="inlineStr">
        <is>
          <t>The BridgeTex pipeline has a capacity of approximately 440,000 barrels per day</t>
        </is>
      </c>
      <c r="K39" s="2" t="inlineStr"/>
      <c r="L39" s="2" t="inlineStr">
        <is>
          <t>Yes</t>
        </is>
      </c>
      <c r="M39" s="2" t="n">
        <v>1</v>
      </c>
    </row>
    <row r="40">
      <c r="A40" s="6" t="inlineStr">
        <is>
          <t>Crude oil</t>
        </is>
      </c>
      <c r="B40" s="6" t="inlineStr">
        <is>
          <t>Longhorn Pipeline</t>
        </is>
      </c>
      <c r="C40" s="6" t="inlineStr">
        <is>
          <t>Crane, TX to Houston, TX</t>
        </is>
      </c>
      <c r="D40" s="7" t="n">
        <v>275000</v>
      </c>
      <c r="E40" s="6" t="inlineStr">
        <is>
          <t>Capacity</t>
        </is>
      </c>
      <c r="F40" s="6" t="inlineStr">
        <is>
          <t>2014</t>
        </is>
      </c>
      <c r="G40" s="6" t="inlineStr">
        <is>
          <t>Official (EIA)</t>
        </is>
      </c>
      <c r="H40" s="6" t="inlineStr">
        <is>
          <t>EIA, Liquids pipeline projects database (ID 69)</t>
        </is>
      </c>
      <c r="I40" s="8" t="inlineStr">
        <is>
          <t>https://www.eia.gov/petroleum/xls/EIA_LiqPipProject.xlsx</t>
        </is>
      </c>
      <c r="J40" s="6" t="inlineStr">
        <is>
          <t>Capacity increased from 225,000 b/d to 275,000 b/d.</t>
        </is>
      </c>
      <c r="K40" s="6" t="inlineStr"/>
      <c r="L40" s="6" t="inlineStr">
        <is>
          <t>Yes</t>
        </is>
      </c>
      <c r="M40" s="6" t="n">
        <v>1</v>
      </c>
    </row>
    <row r="41">
      <c r="A41" s="2" t="inlineStr">
        <is>
          <t>Crude oil</t>
        </is>
      </c>
      <c r="B41" s="2" t="inlineStr">
        <is>
          <t>Basin Pipeline</t>
        </is>
      </c>
      <c r="C41" s="2" t="inlineStr">
        <is>
          <t>Wink/Midland, TX to Cushing, OK</t>
        </is>
      </c>
      <c r="D41" s="9" t="n">
        <v>600000</v>
      </c>
      <c r="E41" s="2" t="inlineStr">
        <is>
          <t>Capacity (Wink to Midland segment)</t>
        </is>
      </c>
      <c r="F41" s="2" t="inlineStr">
        <is>
          <t>2015</t>
        </is>
      </c>
      <c r="G41" s="2" t="inlineStr">
        <is>
          <t>Official (EIA)</t>
        </is>
      </c>
      <c r="H41" s="2" t="inlineStr">
        <is>
          <t>EIA, Liquids pipeline projects database (ID 90)</t>
        </is>
      </c>
      <c r="I41" s="10" t="inlineStr">
        <is>
          <t>https://www.eia.gov/petroleum/xls/EIA_LiqPipProject.xlsx</t>
        </is>
      </c>
      <c r="J41" s="2" t="inlineStr">
        <is>
          <t>bring total capacity from 240,000 b/d to 600,000 b/d</t>
        </is>
      </c>
      <c r="K41" s="2" t="inlineStr">
        <is>
          <t>This figure is for the Wink to Midland segment; the segment north to Cushing is smaller</t>
        </is>
      </c>
      <c r="L41" s="2" t="inlineStr">
        <is>
          <t>Yes</t>
        </is>
      </c>
      <c r="M41" s="2" t="n">
        <v>2</v>
      </c>
    </row>
    <row r="42">
      <c r="A42" s="6" t="inlineStr">
        <is>
          <t>Crude oil</t>
        </is>
      </c>
      <c r="B42" s="6" t="inlineStr">
        <is>
          <t>Midland-to-ECHO 1 (Midland to Sealy)</t>
        </is>
      </c>
      <c r="C42" s="6" t="inlineStr">
        <is>
          <t>Midland, TX to Sealy/Houston, TX</t>
        </is>
      </c>
      <c r="D42" s="7" t="n">
        <v>620000</v>
      </c>
      <c r="E42" s="6" t="inlineStr">
        <is>
          <t>Capacity</t>
        </is>
      </c>
      <c r="F42" s="6" t="inlineStr">
        <is>
          <t>2025</t>
        </is>
      </c>
      <c r="G42" s="6" t="inlineStr">
        <is>
          <t>Company SEC filing</t>
        </is>
      </c>
      <c r="H42" s="6" t="inlineStr">
        <is>
          <t>Enterprise Products Partners, Form 10-K for 2025</t>
        </is>
      </c>
      <c r="I42" s="8" t="inlineStr">
        <is>
          <t>https://www.sec.gov/Archives/edgar/data/1061219/000106121926000006/epd-20251231.htm</t>
        </is>
      </c>
      <c r="J42" s="6" t="inlineStr">
        <is>
          <t>The Midland-to-ECHO 1 Pipeline has an approximate maximum transportation capacity of up to 620 MBPD</t>
        </is>
      </c>
      <c r="K42" s="6" t="inlineStr"/>
      <c r="L42" s="6" t="inlineStr">
        <is>
          <t>Yes</t>
        </is>
      </c>
      <c r="M42" s="6" t="n">
        <v>1</v>
      </c>
    </row>
    <row r="43">
      <c r="A43" s="2" t="inlineStr">
        <is>
          <t>Crude oil</t>
        </is>
      </c>
      <c r="B43" s="2" t="inlineStr">
        <is>
          <t>Diamond Pipeline</t>
        </is>
      </c>
      <c r="C43" s="2" t="inlineStr">
        <is>
          <t>Cushing, OK to Memphis, TN</t>
        </is>
      </c>
      <c r="D43" s="9" t="n">
        <v>200000</v>
      </c>
      <c r="E43" s="2" t="inlineStr">
        <is>
          <t>Capacity</t>
        </is>
      </c>
      <c r="F43" s="2" t="inlineStr">
        <is>
          <t>2025</t>
        </is>
      </c>
      <c r="G43" s="2" t="inlineStr">
        <is>
          <t>Company SEC filing</t>
        </is>
      </c>
      <c r="H43" s="2" t="inlineStr">
        <is>
          <t>Plains All American, Form 10-K for 2025</t>
        </is>
      </c>
      <c r="I43" s="10" t="inlineStr">
        <is>
          <t>https://www.sec.gov/Archives/edgar/data/1070423/000107042326000014/paa-20251231.htm</t>
        </is>
      </c>
      <c r="J43" s="2" t="inlineStr">
        <is>
          <t>The Diamond Pipeline has a total capacity of approximately 200,000 barrels per day.</t>
        </is>
      </c>
      <c r="K43" s="2" t="inlineStr"/>
      <c r="L43" s="2" t="inlineStr">
        <is>
          <t>Yes</t>
        </is>
      </c>
      <c r="M43" s="2" t="n">
        <v>1</v>
      </c>
    </row>
    <row r="44">
      <c r="A44" s="6" t="inlineStr">
        <is>
          <t>Crude oil</t>
        </is>
      </c>
      <c r="B44" s="6" t="inlineStr">
        <is>
          <t>Bayou Bridge Pipeline</t>
        </is>
      </c>
      <c r="C44" s="6" t="inlineStr">
        <is>
          <t>Nederland, TX to St. James, LA</t>
        </is>
      </c>
      <c r="D44" s="7" t="n">
        <v>480000</v>
      </c>
      <c r="E44" s="6" t="inlineStr">
        <is>
          <t>Capacity</t>
        </is>
      </c>
      <c r="F44" s="6" t="inlineStr">
        <is>
          <t>2025</t>
        </is>
      </c>
      <c r="G44" s="6" t="inlineStr">
        <is>
          <t>Company SEC filing</t>
        </is>
      </c>
      <c r="H44" s="6" t="inlineStr">
        <is>
          <t>Phillips 66, Form 10-K for 2025, pipeline table</t>
        </is>
      </c>
      <c r="I44" s="8" t="inlineStr">
        <is>
          <t>https://www.sec.gov/Archives/edgar/data/1534701/000153470126000006/psx-20251231.htm</t>
        </is>
      </c>
      <c r="J44" s="6" t="inlineStr">
        <is>
          <t>Bayou Bridge Texas/Louisiana 40 213 480</t>
        </is>
      </c>
      <c r="K44" s="6" t="inlineStr"/>
      <c r="L44" s="6" t="inlineStr">
        <is>
          <t>Yes</t>
        </is>
      </c>
      <c r="M44" s="6" t="n">
        <v>2</v>
      </c>
    </row>
    <row r="45">
      <c r="A45" s="2" t="inlineStr">
        <is>
          <t>Crude oil</t>
        </is>
      </c>
      <c r="B45" s="2" t="inlineStr">
        <is>
          <t>Capline</t>
        </is>
      </c>
      <c r="C45" s="2" t="inlineStr">
        <is>
          <t>Patoka, IL to St. James, LA (flow reversed southbound in 2021)</t>
        </is>
      </c>
      <c r="D45" s="9" t="n">
        <v>300000</v>
      </c>
      <c r="E45" s="2" t="inlineStr">
        <is>
          <t>Initial capacity after reversal</t>
        </is>
      </c>
      <c r="F45" s="2" t="inlineStr">
        <is>
          <t>2021</t>
        </is>
      </c>
      <c r="G45" s="2" t="inlineStr">
        <is>
          <t>Official (EIA)</t>
        </is>
      </c>
      <c r="H45" s="2" t="inlineStr">
        <is>
          <t>EIA, Liquids pipeline projects database (ID 188)</t>
        </is>
      </c>
      <c r="I45" s="10" t="inlineStr">
        <is>
          <t>https://www.eia.gov/petroleum/xls/EIA_LiqPipProject.xlsx</t>
        </is>
      </c>
      <c r="J45" s="2" t="inlineStr">
        <is>
          <t>Reversal of 1,300,000 b/d pipeline so that it flows south. Initial capacity in 2021 Q4 is 300,000 b/d.</t>
        </is>
      </c>
      <c r="K45" s="2" t="inlineStr">
        <is>
          <t>Operated by Marathon since the reversal</t>
        </is>
      </c>
      <c r="L45" s="2" t="inlineStr">
        <is>
          <t>Yes</t>
        </is>
      </c>
      <c r="M45" s="2" t="n">
        <v>1</v>
      </c>
    </row>
    <row r="46">
      <c r="A46" s="6" t="inlineStr">
        <is>
          <t>Crude oil</t>
        </is>
      </c>
      <c r="B46" s="6" t="inlineStr">
        <is>
          <t>Double H Pipeline</t>
        </is>
      </c>
      <c r="C46" s="6" t="inlineStr">
        <is>
          <t>Baker, MT / Bakken to Guernsey, WY</t>
        </is>
      </c>
      <c r="D46" s="7" t="n">
        <v>84000</v>
      </c>
      <c r="E46" s="6" t="inlineStr">
        <is>
          <t>Capacity</t>
        </is>
      </c>
      <c r="F46" s="6" t="inlineStr">
        <is>
          <t>2015</t>
        </is>
      </c>
      <c r="G46" s="6" t="inlineStr">
        <is>
          <t>Official (EIA)</t>
        </is>
      </c>
      <c r="H46" s="6" t="inlineStr">
        <is>
          <t>EIA, Liquids pipeline projects database (ID 72)</t>
        </is>
      </c>
      <c r="I46" s="8" t="inlineStr">
        <is>
          <t>https://www.eia.gov/petroleum/xls/EIA_LiqPipProject.xlsx</t>
        </is>
      </c>
      <c r="J46" s="6" t="inlineStr">
        <is>
          <t>Database field Added Capacity: 84,000 b/d (Double H Pipeline, completed 2015)</t>
        </is>
      </c>
      <c r="K46" s="6" t="inlineStr"/>
      <c r="L46" s="6" t="inlineStr">
        <is>
          <t>Yes</t>
        </is>
      </c>
      <c r="M46" s="6" t="n">
        <v>2</v>
      </c>
    </row>
    <row r="47">
      <c r="A47" s="2" t="inlineStr">
        <is>
          <t>Crude oil</t>
        </is>
      </c>
      <c r="B47" s="2" t="inlineStr">
        <is>
          <t>Glacier Pipeline</t>
        </is>
      </c>
      <c r="C47" s="2" t="inlineStr">
        <is>
          <t>Cut Bank, MT to Billings, MT</t>
        </is>
      </c>
      <c r="D47" s="9" t="n">
        <v>124000</v>
      </c>
      <c r="E47" s="2" t="inlineStr">
        <is>
          <t>Capacity</t>
        </is>
      </c>
      <c r="F47" s="2" t="inlineStr">
        <is>
          <t>2025</t>
        </is>
      </c>
      <c r="G47" s="2" t="inlineStr">
        <is>
          <t>Company SEC filing</t>
        </is>
      </c>
      <c r="H47" s="2" t="inlineStr">
        <is>
          <t>Phillips 66, Form 10-K for 2025, pipeline table</t>
        </is>
      </c>
      <c r="I47" s="10" t="inlineStr">
        <is>
          <t>https://www.sec.gov/Archives/edgar/data/1534701/000153470126000006/psx-20251231.htm</t>
        </is>
      </c>
      <c r="J47" s="2" t="inlineStr">
        <is>
          <t>Glacier Montana 79 800 124</t>
        </is>
      </c>
      <c r="K47" s="2" t="inlineStr"/>
      <c r="L47" s="2" t="inlineStr">
        <is>
          <t>Yes</t>
        </is>
      </c>
      <c r="M47" s="2" t="n">
        <v>1</v>
      </c>
    </row>
    <row r="48">
      <c r="A48" s="6" t="inlineStr">
        <is>
          <t>Crude oil</t>
        </is>
      </c>
      <c r="B48" s="6" t="inlineStr">
        <is>
          <t>Mid-Valley Pipeline</t>
        </is>
      </c>
      <c r="C48" s="6" t="inlineStr">
        <is>
          <t>Longview, TX to Samaria, MI</t>
        </is>
      </c>
      <c r="D48" s="7" t="n">
        <v>240000</v>
      </c>
      <c r="E48" s="6" t="inlineStr">
        <is>
          <t>Capacity (press-reported)</t>
        </is>
      </c>
      <c r="F48" s="6" t="inlineStr"/>
      <c r="G48" s="6" t="inlineStr">
        <is>
          <t>Press</t>
        </is>
      </c>
      <c r="H48" s="6" t="inlineStr">
        <is>
          <t>Global Energy Monitor</t>
        </is>
      </c>
      <c r="I48" s="8" t="inlineStr">
        <is>
          <t>https://www.gem.wiki/Mid-Valley_Oil_Pipeline</t>
        </is>
      </c>
      <c r="J48" s="6" t="inlineStr"/>
      <c r="K48" s="6" t="inlineStr">
        <is>
          <t>Not confirmed from an operator or official document; drawn thin</t>
        </is>
      </c>
      <c r="L48" s="6" t="inlineStr">
        <is>
          <t>No (thin)</t>
        </is>
      </c>
      <c r="M48" s="6" t="n">
        <v>3</v>
      </c>
    </row>
  </sheetData>
  <autoFilter ref="A1:M48"/>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2026-09-28T19:24:50Z</dcterms:created>
  <dcterms:modified xsi:type="dcterms:W3CDTF">2026-09-28T19:24:50Z</dcterms:modified>
</cp:coreProperties>
</file>